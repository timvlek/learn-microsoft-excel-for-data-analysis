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damorse/Documents/Learn DA with Excel/exploring data/exercises/"/>
    </mc:Choice>
  </mc:AlternateContent>
  <xr:revisionPtr revIDLastSave="0" documentId="13_ncr:1_{DE30731E-7444-3A45-A40E-7A95CF6F6E11}" xr6:coauthVersionLast="47" xr6:coauthVersionMax="47" xr10:uidLastSave="{00000000-0000-0000-0000-000000000000}"/>
  <bookViews>
    <workbookView xWindow="0" yWindow="500" windowWidth="28800" windowHeight="15800" xr2:uid="{21A08B8F-33A6-C748-B43F-55333DB62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6" i="1" l="1"/>
  <c r="C22" i="1"/>
  <c r="C18" i="1"/>
  <c r="C14" i="1"/>
</calcChain>
</file>

<file path=xl/sharedStrings.xml><?xml version="1.0" encoding="utf-8"?>
<sst xmlns="http://schemas.openxmlformats.org/spreadsheetml/2006/main" count="3380" uniqueCount="69">
  <si>
    <t>We've already loaded a dataset for you in this sheet.</t>
  </si>
  <si>
    <t>Codecademy: Learn Excel for Data Analysis</t>
  </si>
  <si>
    <t>Exercises</t>
  </si>
  <si>
    <t>Sorting data</t>
  </si>
  <si>
    <t>date</t>
  </si>
  <si>
    <t>time</t>
  </si>
  <si>
    <t>TX</t>
  </si>
  <si>
    <t>CO</t>
  </si>
  <si>
    <t>MN</t>
  </si>
  <si>
    <t>GA</t>
  </si>
  <si>
    <t>SC</t>
  </si>
  <si>
    <t>KY</t>
  </si>
  <si>
    <t>KS</t>
  </si>
  <si>
    <t>MI</t>
  </si>
  <si>
    <t>NC</t>
  </si>
  <si>
    <t>IL</t>
  </si>
  <si>
    <t>SD</t>
  </si>
  <si>
    <t>MO</t>
  </si>
  <si>
    <t>MD</t>
  </si>
  <si>
    <t>FL</t>
  </si>
  <si>
    <t>AL</t>
  </si>
  <si>
    <t>TN</t>
  </si>
  <si>
    <t>IN</t>
  </si>
  <si>
    <t>IA</t>
  </si>
  <si>
    <t>MS</t>
  </si>
  <si>
    <t>CA</t>
  </si>
  <si>
    <t>LA</t>
  </si>
  <si>
    <t>OH</t>
  </si>
  <si>
    <t>NE</t>
  </si>
  <si>
    <t>AR</t>
  </si>
  <si>
    <t>AZ</t>
  </si>
  <si>
    <t>ND</t>
  </si>
  <si>
    <t>WI</t>
  </si>
  <si>
    <t>OK</t>
  </si>
  <si>
    <t>PA</t>
  </si>
  <si>
    <t>VA</t>
  </si>
  <si>
    <t>NY</t>
  </si>
  <si>
    <t>NJ</t>
  </si>
  <si>
    <t>CT</t>
  </si>
  <si>
    <t>WY</t>
  </si>
  <si>
    <t>DE</t>
  </si>
  <si>
    <t>MT</t>
  </si>
  <si>
    <t>NM</t>
  </si>
  <si>
    <t>ME</t>
  </si>
  <si>
    <t>NH</t>
  </si>
  <si>
    <t>MA</t>
  </si>
  <si>
    <t>WA</t>
  </si>
  <si>
    <t>OR</t>
  </si>
  <si>
    <t>state</t>
  </si>
  <si>
    <t>length</t>
  </si>
  <si>
    <t>width</t>
  </si>
  <si>
    <t>(1) Sort the table by length from largest to smallest. What was the longest tornado measurement recorded?</t>
  </si>
  <si>
    <t>Use this table for Ex. 1-3</t>
  </si>
  <si>
    <t>Use this table for Ex. 4</t>
  </si>
  <si>
    <t>(2) Starting with the sorted table from Ex 1, sort by date so the most recent tornados are last.</t>
  </si>
  <si>
    <t>(4) Sort the second table of data to help answer the following question:</t>
  </si>
  <si>
    <t>(3) With the same table, sort by state from A to Z. Enter the first month with a recorded tornado in Alabama.</t>
  </si>
  <si>
    <t>Does the width of tornados in Texas increase over the year? Decrease? Fluctuate?</t>
  </si>
  <si>
    <t>There are 4 exercises to do here. Once you're done, head back to Codecademy to learn more!</t>
  </si>
  <si>
    <t>Original unsorted data</t>
  </si>
  <si>
    <t xml:space="preserve">Because order matters in sorting, it's easy to get stuck in loops! </t>
  </si>
  <si>
    <t>The original data is stored all the way to the right. Select it and paste it into the exercise tables to start over.</t>
  </si>
  <si>
    <t>Welcome to the exercise spreadsheet for sorting data!</t>
  </si>
  <si>
    <t>fluctuates</t>
  </si>
  <si>
    <t>Note that these dates are in mm/dd/yyyy format!</t>
  </si>
  <si>
    <t>What state had the first tornado of 2020 (enter the abbreviation)?</t>
  </si>
  <si>
    <t>jan</t>
  </si>
  <si>
    <t>Date oldest to newest, State Z-A</t>
  </si>
  <si>
    <t>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</si>
</sst>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3" borderId="1" xfId="0" applyFont="1" applyFill="1" applyBorder="1" applyProtection="1">
      <protection locked="0"/>
    </xf>
    <xf numFmtId="0" fontId="2" fillId="2" borderId="0" xfId="0" applyFont="1" applyFill="1" applyProtection="1">
      <protection hidden="1"/>
    </xf>
    <xf numFmtId="0" fontId="2" fillId="2" borderId="0" xfId="0" applyFont="1" applyFill="1" applyBorder="1"/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 applyProtection="1">
      <protection locked="0"/>
    </xf>
    <xf numFmtId="14" fontId="0" fillId="0" borderId="0" xfId="0" applyNumberFormat="1"/>
    <xf numFmtId="164" fontId="0" fillId="0" borderId="0" xfId="0" applyNumberFormat="1"/>
    <xf numFmtId="0" fontId="2" fillId="2" borderId="0" xfId="0" applyFont="1" applyFill="1" applyAlignment="1" applyProtection="1">
      <protection hidden="1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5" fillId="0" borderId="0" xfId="0" applyFont="1"/>
    <xf numFmtId="14" fontId="5" fillId="0" borderId="0" xfId="0" applyNumberFormat="1" applyFont="1"/>
    <xf numFmtId="164" fontId="5" fillId="0" borderId="0" xfId="0" applyNumberFormat="1" applyFont="1"/>
    <xf numFmtId="0" fontId="6" fillId="2" borderId="0" xfId="1" applyFill="1"/>
  </cellXfs>
  <cellStyles count="2">
    <cellStyle name="Hyperlink" xfId="1" builtinId="8"/>
    <cellStyle name="Normal" xfId="0" builtinId="0"/>
  </cellStyles>
  <dxfs count="16"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4749800</xdr:colOff>
      <xdr:row>7</xdr:row>
      <xdr:rowOff>152400</xdr:rowOff>
    </xdr:from>
    <xdr:to>
      <xdr:col>3</xdr:col>
      <xdr:colOff>749300</xdr:colOff>
      <xdr:row>7</xdr:row>
      <xdr:rowOff>190500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1FFB2DE-0786-9F3A-189B-B2F06AF9EDA8}"/>
            </a:ext>
          </a:extLst>
        </xdr:cNvPr>
        <xdr:cNvCxnSpPr/>
      </xdr:nvCxnSpPr>
      <xdr:spPr>
        <a:xfrm>
          <a:off x="6400800" y="2133600"/>
          <a:ext cx="5842000" cy="381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pc.noaa.gov/wc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sheetPr codeName="Sheet1"/>
  <dimension ref="B1:U1123"/>
  <sheetViews>
    <sheetView tabSelected="1" zoomScale="94" workbookViewId="0">
      <selection activeCell="U1123" sqref="U1123"/>
    </sheetView>
  </sheetViews>
  <sheetFormatPr baseColWidth="10" defaultRowHeight="23" x14ac:dyDescent="0.25"/>
  <cols>
    <col min="1" max="1" width="10.83203125" style="2"/>
    <col min="2" max="2" width="15.6640625" style="2" customWidth="1"/>
    <col min="3" max="3" width="129.1640625" style="2" customWidth="1"/>
    <col min="4" max="4" width="10.83203125" style="2"/>
    <col min="5" max="5" width="14" style="2" customWidth="1"/>
    <col min="6" max="6" width="10.33203125" style="2" customWidth="1"/>
    <col min="7" max="7" width="8.5" style="2" customWidth="1"/>
    <col min="8" max="8" width="10" style="2" customWidth="1"/>
    <col min="9" max="16384" width="10.83203125" style="2"/>
  </cols>
  <sheetData>
    <row r="1" spans="2:21" s="1" customFormat="1" ht="16" x14ac:dyDescent="0.2"/>
    <row r="2" spans="2:21" s="1" customFormat="1" ht="30" x14ac:dyDescent="0.3">
      <c r="B2" s="3" t="s">
        <v>1</v>
      </c>
    </row>
    <row r="3" spans="2:21" s="1" customFormat="1" ht="25" x14ac:dyDescent="0.25">
      <c r="B3" s="4" t="s">
        <v>3</v>
      </c>
    </row>
    <row r="4" spans="2:21" s="1" customFormat="1" ht="16" x14ac:dyDescent="0.2"/>
    <row r="5" spans="2:21" x14ac:dyDescent="0.25">
      <c r="B5" s="2" t="s">
        <v>62</v>
      </c>
    </row>
    <row r="6" spans="2:21" x14ac:dyDescent="0.25">
      <c r="B6" s="2" t="s">
        <v>58</v>
      </c>
      <c r="K6" s="2" t="s">
        <v>67</v>
      </c>
    </row>
    <row r="7" spans="2:21" x14ac:dyDescent="0.25">
      <c r="E7" s="7" t="s">
        <v>52</v>
      </c>
      <c r="F7" s="8"/>
      <c r="K7" s="2" t="s">
        <v>53</v>
      </c>
      <c r="Q7" s="2" t="s">
        <v>59</v>
      </c>
    </row>
    <row r="8" spans="2:21" x14ac:dyDescent="0.25">
      <c r="B8" s="2" t="s">
        <v>0</v>
      </c>
      <c r="E8" t="s">
        <v>4</v>
      </c>
      <c r="F8" t="s">
        <v>5</v>
      </c>
      <c r="G8" t="s">
        <v>48</v>
      </c>
      <c r="H8" t="s">
        <v>49</v>
      </c>
      <c r="I8" t="s">
        <v>50</v>
      </c>
      <c r="K8" s="13" t="s">
        <v>4</v>
      </c>
      <c r="L8" s="13" t="s">
        <v>5</v>
      </c>
      <c r="M8" s="13" t="s">
        <v>48</v>
      </c>
      <c r="N8" s="13" t="s">
        <v>49</v>
      </c>
      <c r="O8" s="13" t="s">
        <v>50</v>
      </c>
      <c r="Q8" s="17" t="s">
        <v>4</v>
      </c>
      <c r="R8" s="17" t="s">
        <v>5</v>
      </c>
      <c r="S8" s="17" t="s">
        <v>48</v>
      </c>
      <c r="T8" s="17" t="s">
        <v>49</v>
      </c>
      <c r="U8" s="17" t="s">
        <v>50</v>
      </c>
    </row>
    <row r="9" spans="2:21" x14ac:dyDescent="0.25">
      <c r="B9" s="2" t="s">
        <v>60</v>
      </c>
      <c r="E9" s="10">
        <v>43841</v>
      </c>
      <c r="F9" s="11">
        <v>0.46597222222222223</v>
      </c>
      <c r="G9" t="s">
        <v>20</v>
      </c>
      <c r="H9">
        <v>6.33</v>
      </c>
      <c r="I9">
        <v>1056</v>
      </c>
      <c r="K9" s="14">
        <v>43988</v>
      </c>
      <c r="L9" s="15">
        <v>0.61875000000000002</v>
      </c>
      <c r="M9" s="13" t="s">
        <v>39</v>
      </c>
      <c r="N9" s="13">
        <v>1.21</v>
      </c>
      <c r="O9" s="13">
        <v>600</v>
      </c>
      <c r="Q9" s="18">
        <v>43963</v>
      </c>
      <c r="R9" s="19">
        <v>0.41250000000000003</v>
      </c>
      <c r="S9" s="17" t="s">
        <v>6</v>
      </c>
      <c r="T9" s="17">
        <v>2.6</v>
      </c>
      <c r="U9" s="17">
        <v>20</v>
      </c>
    </row>
    <row r="10" spans="2:21" x14ac:dyDescent="0.25">
      <c r="B10" s="2" t="s">
        <v>61</v>
      </c>
      <c r="E10" s="10">
        <v>43841</v>
      </c>
      <c r="F10" s="11">
        <v>0.68958333333333333</v>
      </c>
      <c r="G10" t="s">
        <v>20</v>
      </c>
      <c r="H10">
        <v>5.8</v>
      </c>
      <c r="I10">
        <v>275</v>
      </c>
      <c r="K10" s="14">
        <v>44018</v>
      </c>
      <c r="L10" s="15">
        <v>0.77638888888888891</v>
      </c>
      <c r="M10" s="13" t="s">
        <v>39</v>
      </c>
      <c r="N10" s="13">
        <v>2.06</v>
      </c>
      <c r="O10" s="13">
        <v>770</v>
      </c>
      <c r="Q10" s="18">
        <v>44058</v>
      </c>
      <c r="R10" s="19">
        <v>0.74097222222222225</v>
      </c>
      <c r="S10" s="17" t="s">
        <v>7</v>
      </c>
      <c r="T10" s="17">
        <v>0.01</v>
      </c>
      <c r="U10" s="17">
        <v>50</v>
      </c>
    </row>
    <row r="11" spans="2:21" x14ac:dyDescent="0.25">
      <c r="E11" s="10">
        <v>43841</v>
      </c>
      <c r="F11" s="11">
        <v>0.55069444444444449</v>
      </c>
      <c r="G11" t="s">
        <v>20</v>
      </c>
      <c r="H11">
        <v>1.84</v>
      </c>
      <c r="I11">
        <v>60</v>
      </c>
      <c r="K11" s="14">
        <v>44018</v>
      </c>
      <c r="L11" s="15">
        <v>0.72638888888888886</v>
      </c>
      <c r="M11" s="13" t="s">
        <v>39</v>
      </c>
      <c r="N11" s="13">
        <v>3.66</v>
      </c>
      <c r="O11" s="13">
        <v>50</v>
      </c>
      <c r="Q11" s="18">
        <v>44030</v>
      </c>
      <c r="R11" s="19">
        <v>0.87083333333333324</v>
      </c>
      <c r="S11" s="17" t="s">
        <v>8</v>
      </c>
      <c r="T11" s="17">
        <v>3.23</v>
      </c>
      <c r="U11" s="17">
        <v>400</v>
      </c>
    </row>
    <row r="12" spans="2:21" ht="25" x14ac:dyDescent="0.25">
      <c r="B12" s="4" t="s">
        <v>2</v>
      </c>
      <c r="E12" s="10">
        <v>43841</v>
      </c>
      <c r="F12" s="11">
        <v>0.55486111111111114</v>
      </c>
      <c r="G12" t="s">
        <v>20</v>
      </c>
      <c r="H12">
        <v>0.22</v>
      </c>
      <c r="I12">
        <v>150</v>
      </c>
      <c r="K12" s="14">
        <v>44054</v>
      </c>
      <c r="L12" s="15">
        <v>0.74444444444444446</v>
      </c>
      <c r="M12" s="13" t="s">
        <v>39</v>
      </c>
      <c r="N12" s="13">
        <v>0.19</v>
      </c>
      <c r="O12" s="13">
        <v>20</v>
      </c>
      <c r="Q12" s="18">
        <v>43841</v>
      </c>
      <c r="R12" s="19">
        <v>0.66111111111111109</v>
      </c>
      <c r="S12" s="17" t="s">
        <v>9</v>
      </c>
      <c r="T12" s="17">
        <v>3.86</v>
      </c>
      <c r="U12" s="17">
        <v>400</v>
      </c>
    </row>
    <row r="13" spans="2:21" x14ac:dyDescent="0.25">
      <c r="B13" s="9" t="s">
        <v>51</v>
      </c>
      <c r="C13" s="6"/>
      <c r="E13" s="10">
        <v>43841</v>
      </c>
      <c r="F13" s="11">
        <v>0.54375000000000007</v>
      </c>
      <c r="G13" t="s">
        <v>20</v>
      </c>
      <c r="H13">
        <v>0.21</v>
      </c>
      <c r="I13">
        <v>80</v>
      </c>
      <c r="K13" s="14">
        <v>43918</v>
      </c>
      <c r="L13" s="15">
        <v>0.81597222222222221</v>
      </c>
      <c r="M13" s="13" t="s">
        <v>32</v>
      </c>
      <c r="N13" s="13">
        <v>6.22</v>
      </c>
      <c r="O13" s="13">
        <v>120</v>
      </c>
      <c r="Q13" s="18">
        <v>43934</v>
      </c>
      <c r="R13" s="19">
        <v>0.26041666666666669</v>
      </c>
      <c r="S13" s="17" t="s">
        <v>10</v>
      </c>
      <c r="T13" s="17">
        <v>11</v>
      </c>
      <c r="U13" s="17">
        <v>50</v>
      </c>
    </row>
    <row r="14" spans="2:21" x14ac:dyDescent="0.25">
      <c r="B14" s="5">
        <v>83.22</v>
      </c>
      <c r="C14" s="12" t="str">
        <f ca="1">IF(ISBLANK(B14),"&lt;-- input your solution!",IF(IFERROR(_xlfn.FORMULATEXT(B14),"error")="=H9","Please type in the number, not a formula",IF(B14=83.22,"Correct!","Not quite -  if sorted properly, the longest measurement should be at the top.")))</f>
        <v>Correct!</v>
      </c>
      <c r="E14" s="10">
        <v>43866</v>
      </c>
      <c r="F14" s="11">
        <v>0.72083333333333333</v>
      </c>
      <c r="G14" t="s">
        <v>20</v>
      </c>
      <c r="H14">
        <v>1.32</v>
      </c>
      <c r="I14">
        <v>60</v>
      </c>
      <c r="K14" s="14">
        <v>44002</v>
      </c>
      <c r="L14" s="15">
        <v>0.69097222222222221</v>
      </c>
      <c r="M14" s="13" t="s">
        <v>32</v>
      </c>
      <c r="N14" s="13">
        <v>3.37</v>
      </c>
      <c r="O14" s="13">
        <v>75</v>
      </c>
      <c r="Q14" s="18">
        <v>43841</v>
      </c>
      <c r="R14" s="19">
        <v>0.30486111111111108</v>
      </c>
      <c r="S14" s="17" t="s">
        <v>11</v>
      </c>
      <c r="T14" s="17">
        <v>2.98</v>
      </c>
      <c r="U14" s="17">
        <v>200</v>
      </c>
    </row>
    <row r="15" spans="2:21" x14ac:dyDescent="0.25">
      <c r="B15" s="7"/>
      <c r="E15" s="10">
        <v>43867</v>
      </c>
      <c r="F15" s="11">
        <v>8.1250000000000003E-2</v>
      </c>
      <c r="G15" t="s">
        <v>20</v>
      </c>
      <c r="H15">
        <v>9.91</v>
      </c>
      <c r="I15">
        <v>700</v>
      </c>
      <c r="K15" s="14">
        <v>44002</v>
      </c>
      <c r="L15" s="15">
        <v>0.68263888888888891</v>
      </c>
      <c r="M15" s="13" t="s">
        <v>32</v>
      </c>
      <c r="N15" s="13">
        <v>1.07</v>
      </c>
      <c r="O15" s="13">
        <v>75</v>
      </c>
      <c r="Q15" s="18">
        <v>43934</v>
      </c>
      <c r="R15" s="19">
        <v>0.15902777777777777</v>
      </c>
      <c r="S15" s="17" t="s">
        <v>10</v>
      </c>
      <c r="T15" s="17">
        <v>1.39</v>
      </c>
      <c r="U15" s="17">
        <v>40</v>
      </c>
    </row>
    <row r="16" spans="2:21" x14ac:dyDescent="0.25">
      <c r="B16" s="9" t="s">
        <v>54</v>
      </c>
      <c r="C16" s="6"/>
      <c r="E16" s="10">
        <v>43867</v>
      </c>
      <c r="F16" s="11">
        <v>9.2361111111111116E-2</v>
      </c>
      <c r="G16" t="s">
        <v>20</v>
      </c>
      <c r="H16">
        <v>1.29</v>
      </c>
      <c r="I16">
        <v>400</v>
      </c>
      <c r="K16" s="14">
        <v>44002</v>
      </c>
      <c r="L16" s="15">
        <v>0.66736111111111107</v>
      </c>
      <c r="M16" s="13" t="s">
        <v>32</v>
      </c>
      <c r="N16" s="13">
        <v>0.24</v>
      </c>
      <c r="O16" s="13">
        <v>50</v>
      </c>
      <c r="Q16" s="18">
        <v>43933</v>
      </c>
      <c r="R16" s="19">
        <v>0.88541666666666663</v>
      </c>
      <c r="S16" s="17" t="s">
        <v>9</v>
      </c>
      <c r="T16" s="17">
        <v>4.93</v>
      </c>
      <c r="U16" s="17">
        <v>580</v>
      </c>
    </row>
    <row r="17" spans="2:21" x14ac:dyDescent="0.25">
      <c r="B17" s="7" t="s">
        <v>65</v>
      </c>
      <c r="E17" s="10">
        <v>43873</v>
      </c>
      <c r="F17" s="11">
        <v>0.71736111111111101</v>
      </c>
      <c r="G17" t="s">
        <v>20</v>
      </c>
      <c r="H17">
        <v>3.75</v>
      </c>
      <c r="I17">
        <v>400</v>
      </c>
      <c r="K17" s="14">
        <v>44030</v>
      </c>
      <c r="L17" s="15">
        <v>0.99305555555555547</v>
      </c>
      <c r="M17" s="13" t="s">
        <v>32</v>
      </c>
      <c r="N17" s="13">
        <v>3.62</v>
      </c>
      <c r="O17" s="13">
        <v>200</v>
      </c>
      <c r="Q17" s="18">
        <v>43974</v>
      </c>
      <c r="R17" s="19">
        <v>0.75486111111111109</v>
      </c>
      <c r="S17" s="17" t="s">
        <v>12</v>
      </c>
      <c r="T17" s="17">
        <v>1.1100000000000001</v>
      </c>
      <c r="U17" s="17">
        <v>50</v>
      </c>
    </row>
    <row r="18" spans="2:21" x14ac:dyDescent="0.25">
      <c r="B18" s="5" t="s">
        <v>19</v>
      </c>
      <c r="C18" s="12" t="str">
        <f ca="1">IF(ISBLANK(B18),"&lt;-- input your solution!",IF(IFERROR(_xlfn.FORMULATEXT(B18),"error")="=G9","Please type in the state abbreviation, not a formula",IF(B18="FL","Correct!","Not quite -  if sorted properly, the first tornado should be on top. Enter the state abbreviation.")))</f>
        <v>Correct!</v>
      </c>
      <c r="E18" s="10">
        <v>43874</v>
      </c>
      <c r="F18" s="11">
        <v>0.17500000000000002</v>
      </c>
      <c r="G18" t="s">
        <v>20</v>
      </c>
      <c r="H18">
        <v>2.1</v>
      </c>
      <c r="I18">
        <v>300</v>
      </c>
      <c r="K18" s="14">
        <v>44030</v>
      </c>
      <c r="L18" s="15">
        <v>0.875</v>
      </c>
      <c r="M18" s="13" t="s">
        <v>32</v>
      </c>
      <c r="N18" s="13">
        <v>6.23</v>
      </c>
      <c r="O18" s="13">
        <v>400</v>
      </c>
      <c r="Q18" s="18">
        <v>43971</v>
      </c>
      <c r="R18" s="19">
        <v>0.78194444444444444</v>
      </c>
      <c r="S18" s="17" t="s">
        <v>7</v>
      </c>
      <c r="T18" s="17">
        <v>4.8</v>
      </c>
      <c r="U18" s="17">
        <v>50</v>
      </c>
    </row>
    <row r="19" spans="2:21" x14ac:dyDescent="0.25">
      <c r="B19" s="9"/>
      <c r="C19" s="6"/>
      <c r="E19" s="10">
        <v>43893</v>
      </c>
      <c r="F19" s="11">
        <v>0.26944444444444443</v>
      </c>
      <c r="G19" t="s">
        <v>20</v>
      </c>
      <c r="H19">
        <v>6.21</v>
      </c>
      <c r="I19">
        <v>525</v>
      </c>
      <c r="K19" s="14">
        <v>44030</v>
      </c>
      <c r="L19" s="15">
        <v>3.3333333333333333E-2</v>
      </c>
      <c r="M19" s="13" t="s">
        <v>32</v>
      </c>
      <c r="N19" s="13">
        <v>0.42</v>
      </c>
      <c r="O19" s="13">
        <v>50</v>
      </c>
      <c r="Q19" s="18">
        <v>44057</v>
      </c>
      <c r="R19" s="19">
        <v>0.77222222222222225</v>
      </c>
      <c r="S19" s="17" t="s">
        <v>8</v>
      </c>
      <c r="T19" s="17">
        <v>0.39</v>
      </c>
      <c r="U19" s="17">
        <v>65</v>
      </c>
    </row>
    <row r="20" spans="2:21" x14ac:dyDescent="0.25">
      <c r="B20" s="7" t="s">
        <v>56</v>
      </c>
      <c r="E20" s="10">
        <v>43893</v>
      </c>
      <c r="F20" s="11">
        <v>0.25277777777777777</v>
      </c>
      <c r="G20" t="s">
        <v>20</v>
      </c>
      <c r="H20">
        <v>4.34</v>
      </c>
      <c r="I20">
        <v>220</v>
      </c>
      <c r="K20" s="14">
        <v>44030</v>
      </c>
      <c r="L20" s="15">
        <v>7.7083333333333337E-2</v>
      </c>
      <c r="M20" s="13" t="s">
        <v>32</v>
      </c>
      <c r="N20" s="13">
        <v>0.6</v>
      </c>
      <c r="O20" s="13">
        <v>50</v>
      </c>
      <c r="Q20" s="18">
        <v>44074</v>
      </c>
      <c r="R20" s="19">
        <v>0.64583333333333337</v>
      </c>
      <c r="S20" s="17" t="s">
        <v>13</v>
      </c>
      <c r="T20" s="17">
        <v>0.61</v>
      </c>
      <c r="U20" s="17">
        <v>200</v>
      </c>
    </row>
    <row r="21" spans="2:21" x14ac:dyDescent="0.25">
      <c r="B21" s="7" t="s">
        <v>64</v>
      </c>
      <c r="E21" s="10">
        <v>43914</v>
      </c>
      <c r="F21" s="11">
        <v>0.69374999999999998</v>
      </c>
      <c r="G21" t="s">
        <v>20</v>
      </c>
      <c r="H21">
        <v>8.16</v>
      </c>
      <c r="I21">
        <v>200</v>
      </c>
      <c r="K21" s="14">
        <v>44033</v>
      </c>
      <c r="L21" s="15">
        <v>0.8222222222222223</v>
      </c>
      <c r="M21" s="13" t="s">
        <v>32</v>
      </c>
      <c r="N21" s="13">
        <v>2.9</v>
      </c>
      <c r="O21" s="13">
        <v>150</v>
      </c>
      <c r="Q21" s="18">
        <v>44046</v>
      </c>
      <c r="R21" s="19">
        <v>0.95138888888888884</v>
      </c>
      <c r="S21" s="17" t="s">
        <v>14</v>
      </c>
      <c r="T21" s="17">
        <v>0.71</v>
      </c>
      <c r="U21" s="17">
        <v>180</v>
      </c>
    </row>
    <row r="22" spans="2:21" x14ac:dyDescent="0.25">
      <c r="B22" s="16" t="s">
        <v>66</v>
      </c>
      <c r="C22" s="12" t="str">
        <f>IF(ISBLANK(B22),"&lt;-- input your solution!",IF(ISNUMBER(SEARCH("jan",B22)),"Correct!","Not quite -  did you enter the name of the month as text?"))</f>
        <v>Correct!</v>
      </c>
      <c r="E22" s="10">
        <v>43921</v>
      </c>
      <c r="F22" s="11">
        <v>0.44027777777777777</v>
      </c>
      <c r="G22" t="s">
        <v>20</v>
      </c>
      <c r="H22">
        <v>29.97</v>
      </c>
      <c r="I22">
        <v>350</v>
      </c>
      <c r="K22" s="14">
        <v>44033</v>
      </c>
      <c r="L22" s="15">
        <v>0.70138888888888884</v>
      </c>
      <c r="M22" s="13" t="s">
        <v>32</v>
      </c>
      <c r="N22" s="13">
        <v>1.54</v>
      </c>
      <c r="O22" s="13">
        <v>20</v>
      </c>
      <c r="Q22" s="18">
        <v>44033</v>
      </c>
      <c r="R22" s="19">
        <v>0.63750000000000007</v>
      </c>
      <c r="S22" s="17" t="s">
        <v>15</v>
      </c>
      <c r="T22" s="17">
        <v>0.2</v>
      </c>
      <c r="U22" s="17">
        <v>10</v>
      </c>
    </row>
    <row r="23" spans="2:21" x14ac:dyDescent="0.25">
      <c r="B23" s="9"/>
      <c r="C23" s="6"/>
      <c r="E23" s="10">
        <v>43921</v>
      </c>
      <c r="F23" s="11">
        <v>0.44027777777777777</v>
      </c>
      <c r="G23" t="s">
        <v>20</v>
      </c>
      <c r="H23">
        <v>7.85</v>
      </c>
      <c r="I23">
        <v>350</v>
      </c>
      <c r="K23" s="14">
        <v>44033</v>
      </c>
      <c r="L23" s="15">
        <v>0.68194444444444446</v>
      </c>
      <c r="M23" s="13" t="s">
        <v>32</v>
      </c>
      <c r="N23" s="13">
        <v>0.19</v>
      </c>
      <c r="O23" s="13">
        <v>25</v>
      </c>
      <c r="Q23" s="18">
        <v>43989</v>
      </c>
      <c r="R23" s="19">
        <v>0.71180555555555547</v>
      </c>
      <c r="S23" s="17" t="s">
        <v>16</v>
      </c>
      <c r="T23" s="17">
        <v>0.36</v>
      </c>
      <c r="U23" s="17">
        <v>50</v>
      </c>
    </row>
    <row r="24" spans="2:21" x14ac:dyDescent="0.25">
      <c r="B24" s="7" t="s">
        <v>55</v>
      </c>
      <c r="E24" s="10">
        <v>43921</v>
      </c>
      <c r="F24" s="11">
        <v>0.39097222222222222</v>
      </c>
      <c r="G24" t="s">
        <v>20</v>
      </c>
      <c r="H24">
        <v>3.33</v>
      </c>
      <c r="I24">
        <v>190</v>
      </c>
      <c r="K24" s="14">
        <v>44033</v>
      </c>
      <c r="L24" s="15">
        <v>0.79999999999999993</v>
      </c>
      <c r="M24" s="13" t="s">
        <v>32</v>
      </c>
      <c r="N24" s="13">
        <v>3.45</v>
      </c>
      <c r="O24" s="13">
        <v>25</v>
      </c>
      <c r="Q24" s="18">
        <v>43986</v>
      </c>
      <c r="R24" s="19">
        <v>8.0555555555555561E-2</v>
      </c>
      <c r="S24" s="17" t="s">
        <v>17</v>
      </c>
      <c r="T24" s="17">
        <v>1.78</v>
      </c>
      <c r="U24" s="17">
        <v>40</v>
      </c>
    </row>
    <row r="25" spans="2:21" x14ac:dyDescent="0.25">
      <c r="B25" s="7" t="s">
        <v>57</v>
      </c>
      <c r="E25" s="10">
        <v>43921</v>
      </c>
      <c r="F25" s="11">
        <v>0.39861111111111108</v>
      </c>
      <c r="G25" t="s">
        <v>20</v>
      </c>
      <c r="H25">
        <v>1.61</v>
      </c>
      <c r="I25">
        <v>80</v>
      </c>
      <c r="K25" s="14">
        <v>44033</v>
      </c>
      <c r="L25" s="15">
        <v>0.73611111111111116</v>
      </c>
      <c r="M25" s="13" t="s">
        <v>32</v>
      </c>
      <c r="N25" s="13">
        <v>0.09</v>
      </c>
      <c r="O25" s="13">
        <v>25</v>
      </c>
      <c r="Q25" s="18">
        <v>44071</v>
      </c>
      <c r="R25" s="19">
        <v>4.7222222222222221E-2</v>
      </c>
      <c r="S25" s="17" t="s">
        <v>16</v>
      </c>
      <c r="T25" s="17">
        <v>0.12</v>
      </c>
      <c r="U25" s="17">
        <v>50</v>
      </c>
    </row>
    <row r="26" spans="2:21" x14ac:dyDescent="0.25">
      <c r="B26" s="5" t="s">
        <v>63</v>
      </c>
      <c r="C26" s="12" t="str">
        <f>IF(ISBLANK(B26),"&lt;-- select an answer",IF(B26="Fluctuates","Correct!","Not quite - make sure not to sort by width, since that will force an increase/decrease."))</f>
        <v>Correct!</v>
      </c>
      <c r="E26" s="10">
        <v>43921</v>
      </c>
      <c r="F26" s="11">
        <v>0.41041666666666665</v>
      </c>
      <c r="G26" t="s">
        <v>20</v>
      </c>
      <c r="H26">
        <v>0.83</v>
      </c>
      <c r="I26">
        <v>180</v>
      </c>
      <c r="K26" s="14">
        <v>44052</v>
      </c>
      <c r="L26" s="15">
        <v>0.84166666666666667</v>
      </c>
      <c r="M26" s="13" t="s">
        <v>32</v>
      </c>
      <c r="N26" s="13">
        <v>3.56</v>
      </c>
      <c r="O26" s="13">
        <v>250</v>
      </c>
      <c r="Q26" s="18">
        <v>44013</v>
      </c>
      <c r="R26" s="19">
        <v>0.7729166666666667</v>
      </c>
      <c r="S26" s="17" t="s">
        <v>12</v>
      </c>
      <c r="T26" s="17">
        <v>6.2</v>
      </c>
      <c r="U26" s="17">
        <v>100</v>
      </c>
    </row>
    <row r="27" spans="2:21" x14ac:dyDescent="0.25">
      <c r="B27" s="7"/>
      <c r="E27" s="10">
        <v>43921</v>
      </c>
      <c r="F27" s="11">
        <v>0.3979166666666667</v>
      </c>
      <c r="G27" t="s">
        <v>20</v>
      </c>
      <c r="H27">
        <v>0.14000000000000001</v>
      </c>
      <c r="I27">
        <v>80</v>
      </c>
      <c r="K27" s="14">
        <v>44052</v>
      </c>
      <c r="L27" s="15">
        <v>0.81111111111111101</v>
      </c>
      <c r="M27" s="13" t="s">
        <v>32</v>
      </c>
      <c r="N27" s="13">
        <v>5.89</v>
      </c>
      <c r="O27" s="13">
        <v>250</v>
      </c>
      <c r="Q27" s="18">
        <v>44047</v>
      </c>
      <c r="R27" s="19">
        <v>0.20277777777777781</v>
      </c>
      <c r="S27" s="17" t="s">
        <v>18</v>
      </c>
      <c r="T27" s="17">
        <v>0.82</v>
      </c>
      <c r="U27" s="17">
        <v>175</v>
      </c>
    </row>
    <row r="28" spans="2:21" x14ac:dyDescent="0.25">
      <c r="E28" s="10">
        <v>43933</v>
      </c>
      <c r="F28" s="11">
        <v>0.71527777777777779</v>
      </c>
      <c r="G28" t="s">
        <v>20</v>
      </c>
      <c r="H28">
        <v>21.74</v>
      </c>
      <c r="I28">
        <v>440</v>
      </c>
      <c r="K28" s="14">
        <v>44052</v>
      </c>
      <c r="L28" s="15">
        <v>0.78055555555555556</v>
      </c>
      <c r="M28" s="13" t="s">
        <v>32</v>
      </c>
      <c r="N28" s="13">
        <v>6.18</v>
      </c>
      <c r="O28" s="13">
        <v>400</v>
      </c>
      <c r="Q28" s="18">
        <v>43938</v>
      </c>
      <c r="R28" s="19">
        <v>0.87013888888888891</v>
      </c>
      <c r="S28" s="17" t="s">
        <v>19</v>
      </c>
      <c r="T28" s="17">
        <v>0.83</v>
      </c>
      <c r="U28" s="17">
        <v>75</v>
      </c>
    </row>
    <row r="29" spans="2:21" x14ac:dyDescent="0.25">
      <c r="E29" s="10">
        <v>43933</v>
      </c>
      <c r="F29" s="11">
        <v>0.71805555555555556</v>
      </c>
      <c r="G29" t="s">
        <v>20</v>
      </c>
      <c r="H29">
        <v>12.19</v>
      </c>
      <c r="I29">
        <v>875</v>
      </c>
      <c r="K29" s="14">
        <v>44052</v>
      </c>
      <c r="L29" s="15">
        <v>0.84166666666666667</v>
      </c>
      <c r="M29" s="13" t="s">
        <v>32</v>
      </c>
      <c r="N29" s="13">
        <v>4.59</v>
      </c>
      <c r="O29" s="13">
        <v>250</v>
      </c>
      <c r="Q29" s="18">
        <v>43841</v>
      </c>
      <c r="R29" s="19">
        <v>0.54375000000000007</v>
      </c>
      <c r="S29" s="17" t="s">
        <v>20</v>
      </c>
      <c r="T29" s="17">
        <v>0.21</v>
      </c>
      <c r="U29" s="17">
        <v>80</v>
      </c>
    </row>
    <row r="30" spans="2:21" x14ac:dyDescent="0.25">
      <c r="E30" s="10">
        <v>43933</v>
      </c>
      <c r="F30" s="11">
        <v>0.81458333333333333</v>
      </c>
      <c r="G30" t="s">
        <v>20</v>
      </c>
      <c r="H30">
        <v>9.86</v>
      </c>
      <c r="I30">
        <v>230</v>
      </c>
      <c r="K30" s="14">
        <v>44053</v>
      </c>
      <c r="L30" s="15">
        <v>0.61458333333333337</v>
      </c>
      <c r="M30" s="13" t="s">
        <v>32</v>
      </c>
      <c r="N30" s="13">
        <v>4.5</v>
      </c>
      <c r="O30" s="13">
        <v>150</v>
      </c>
      <c r="Q30" s="18">
        <v>44070</v>
      </c>
      <c r="R30" s="19">
        <v>0.99722222222222223</v>
      </c>
      <c r="S30" s="17" t="s">
        <v>16</v>
      </c>
      <c r="T30" s="17">
        <v>2.83</v>
      </c>
      <c r="U30" s="17">
        <v>40</v>
      </c>
    </row>
    <row r="31" spans="2:21" x14ac:dyDescent="0.25">
      <c r="E31" s="10">
        <v>43933</v>
      </c>
      <c r="F31" s="11">
        <v>0.6694444444444444</v>
      </c>
      <c r="G31" t="s">
        <v>20</v>
      </c>
      <c r="H31">
        <v>8.98</v>
      </c>
      <c r="I31">
        <v>950</v>
      </c>
      <c r="K31" s="14">
        <v>44053</v>
      </c>
      <c r="L31" s="15">
        <v>0.60972222222222217</v>
      </c>
      <c r="M31" s="13" t="s">
        <v>32</v>
      </c>
      <c r="N31" s="13">
        <v>3.29</v>
      </c>
      <c r="O31" s="13">
        <v>50</v>
      </c>
      <c r="Q31" s="18">
        <v>43977</v>
      </c>
      <c r="R31" s="19">
        <v>0.76736111111111116</v>
      </c>
      <c r="S31" s="17" t="s">
        <v>8</v>
      </c>
      <c r="T31" s="17">
        <v>0.55000000000000004</v>
      </c>
      <c r="U31" s="17">
        <v>50</v>
      </c>
    </row>
    <row r="32" spans="2:21" x14ac:dyDescent="0.25">
      <c r="E32" s="10">
        <v>43933</v>
      </c>
      <c r="F32" s="11">
        <v>0.8618055555555556</v>
      </c>
      <c r="G32" t="s">
        <v>20</v>
      </c>
      <c r="H32">
        <v>8.0500000000000007</v>
      </c>
      <c r="I32">
        <v>1000</v>
      </c>
      <c r="K32" s="14">
        <v>44053</v>
      </c>
      <c r="L32" s="15">
        <v>0.48055555555555557</v>
      </c>
      <c r="M32" s="13" t="s">
        <v>32</v>
      </c>
      <c r="N32" s="13">
        <v>0.55000000000000004</v>
      </c>
      <c r="O32" s="13">
        <v>50</v>
      </c>
      <c r="Q32" s="18">
        <v>43866</v>
      </c>
      <c r="R32" s="19">
        <v>0.74722222222222223</v>
      </c>
      <c r="S32" s="17" t="s">
        <v>21</v>
      </c>
      <c r="T32" s="17">
        <v>10.51</v>
      </c>
      <c r="U32" s="17">
        <v>300</v>
      </c>
    </row>
    <row r="33" spans="5:21" x14ac:dyDescent="0.25">
      <c r="E33" s="10">
        <v>43933</v>
      </c>
      <c r="F33" s="11">
        <v>0.86805555555555547</v>
      </c>
      <c r="G33" t="s">
        <v>20</v>
      </c>
      <c r="H33">
        <v>7.54</v>
      </c>
      <c r="I33">
        <v>350</v>
      </c>
      <c r="K33" s="14">
        <v>44099</v>
      </c>
      <c r="L33" s="15">
        <v>0.78611111111111109</v>
      </c>
      <c r="M33" s="13" t="s">
        <v>32</v>
      </c>
      <c r="N33" s="13">
        <v>0.8</v>
      </c>
      <c r="O33" s="13">
        <v>50</v>
      </c>
      <c r="Q33" s="18">
        <v>43929</v>
      </c>
      <c r="R33" s="19">
        <v>0.77986111111111101</v>
      </c>
      <c r="S33" s="17" t="s">
        <v>22</v>
      </c>
      <c r="T33" s="17">
        <v>0.97</v>
      </c>
      <c r="U33" s="17">
        <v>35</v>
      </c>
    </row>
    <row r="34" spans="5:21" x14ac:dyDescent="0.25">
      <c r="E34" s="10">
        <v>43933</v>
      </c>
      <c r="F34" s="11">
        <v>0.67638888888888893</v>
      </c>
      <c r="G34" t="s">
        <v>20</v>
      </c>
      <c r="H34">
        <v>6.91</v>
      </c>
      <c r="I34">
        <v>940</v>
      </c>
      <c r="K34" s="14">
        <v>43921</v>
      </c>
      <c r="L34" s="15">
        <v>0.64583333333333337</v>
      </c>
      <c r="M34" s="13" t="s">
        <v>46</v>
      </c>
      <c r="N34" s="13">
        <v>0.1</v>
      </c>
      <c r="O34" s="13">
        <v>20</v>
      </c>
      <c r="Q34" s="18">
        <v>44058</v>
      </c>
      <c r="R34" s="19">
        <v>0.73125000000000007</v>
      </c>
      <c r="S34" s="17" t="s">
        <v>7</v>
      </c>
      <c r="T34" s="17">
        <v>0.01</v>
      </c>
      <c r="U34" s="17">
        <v>50</v>
      </c>
    </row>
    <row r="35" spans="5:21" x14ac:dyDescent="0.25">
      <c r="E35" s="10">
        <v>43933</v>
      </c>
      <c r="F35" s="11">
        <v>0.65347222222222223</v>
      </c>
      <c r="G35" t="s">
        <v>20</v>
      </c>
      <c r="H35">
        <v>6.14</v>
      </c>
      <c r="I35">
        <v>600</v>
      </c>
      <c r="K35" s="14">
        <v>44114</v>
      </c>
      <c r="L35" s="15">
        <v>0.23611111111111113</v>
      </c>
      <c r="M35" s="13" t="s">
        <v>46</v>
      </c>
      <c r="N35" s="13">
        <v>0.5</v>
      </c>
      <c r="O35" s="13">
        <v>30</v>
      </c>
      <c r="Q35" s="18">
        <v>43918</v>
      </c>
      <c r="R35" s="19">
        <v>0.6430555555555556</v>
      </c>
      <c r="S35" s="17" t="s">
        <v>23</v>
      </c>
      <c r="T35" s="17">
        <v>1.3</v>
      </c>
      <c r="U35" s="17">
        <v>75</v>
      </c>
    </row>
    <row r="36" spans="5:21" x14ac:dyDescent="0.25">
      <c r="E36" s="10">
        <v>43933</v>
      </c>
      <c r="F36" s="11">
        <v>0.70138888888888884</v>
      </c>
      <c r="G36" t="s">
        <v>20</v>
      </c>
      <c r="H36">
        <v>5.56</v>
      </c>
      <c r="I36">
        <v>500</v>
      </c>
      <c r="K36" s="14">
        <v>43868</v>
      </c>
      <c r="L36" s="15">
        <v>0.2638888888888889</v>
      </c>
      <c r="M36" s="13" t="s">
        <v>35</v>
      </c>
      <c r="N36" s="13">
        <v>3.36</v>
      </c>
      <c r="O36" s="13">
        <v>250</v>
      </c>
      <c r="Q36" s="18">
        <v>44114</v>
      </c>
      <c r="R36" s="19">
        <v>0.6791666666666667</v>
      </c>
      <c r="S36" s="17" t="s">
        <v>9</v>
      </c>
      <c r="T36" s="17">
        <v>0.96</v>
      </c>
      <c r="U36" s="17">
        <v>90</v>
      </c>
    </row>
    <row r="37" spans="5:21" x14ac:dyDescent="0.25">
      <c r="E37" s="10">
        <v>43933</v>
      </c>
      <c r="F37" s="11">
        <v>0.71388888888888891</v>
      </c>
      <c r="G37" t="s">
        <v>20</v>
      </c>
      <c r="H37">
        <v>5.52</v>
      </c>
      <c r="I37">
        <v>525</v>
      </c>
      <c r="K37" s="14">
        <v>44044</v>
      </c>
      <c r="L37" s="15">
        <v>0.68402777777777779</v>
      </c>
      <c r="M37" s="13" t="s">
        <v>35</v>
      </c>
      <c r="N37" s="13">
        <v>1.2</v>
      </c>
      <c r="O37" s="13">
        <v>75</v>
      </c>
      <c r="Q37" s="18">
        <v>43973</v>
      </c>
      <c r="R37" s="19">
        <v>0.76597222222222217</v>
      </c>
      <c r="S37" s="17" t="s">
        <v>6</v>
      </c>
      <c r="T37" s="17">
        <v>2.5</v>
      </c>
      <c r="U37" s="17">
        <v>100</v>
      </c>
    </row>
    <row r="38" spans="5:21" x14ac:dyDescent="0.25">
      <c r="E38" s="10">
        <v>43933</v>
      </c>
      <c r="F38" s="11">
        <v>0.63750000000000007</v>
      </c>
      <c r="G38" t="s">
        <v>20</v>
      </c>
      <c r="H38">
        <v>5.45</v>
      </c>
      <c r="I38">
        <v>300</v>
      </c>
      <c r="K38" s="14">
        <v>44047</v>
      </c>
      <c r="L38" s="15">
        <v>3.7499999999999999E-2</v>
      </c>
      <c r="M38" s="13" t="s">
        <v>35</v>
      </c>
      <c r="N38" s="13">
        <v>21</v>
      </c>
      <c r="O38" s="13">
        <v>150</v>
      </c>
      <c r="Q38" s="18">
        <v>43933</v>
      </c>
      <c r="R38" s="19">
        <v>0.62569444444444444</v>
      </c>
      <c r="S38" s="17" t="s">
        <v>20</v>
      </c>
      <c r="T38" s="17">
        <v>1.51</v>
      </c>
      <c r="U38" s="17">
        <v>200</v>
      </c>
    </row>
    <row r="39" spans="5:21" x14ac:dyDescent="0.25">
      <c r="E39" s="10">
        <v>43933</v>
      </c>
      <c r="F39" s="11">
        <v>0.83333333333333337</v>
      </c>
      <c r="G39" t="s">
        <v>20</v>
      </c>
      <c r="H39">
        <v>5.42</v>
      </c>
      <c r="I39">
        <v>300</v>
      </c>
      <c r="K39" s="14">
        <v>44047</v>
      </c>
      <c r="L39" s="15">
        <v>9.2361111111111116E-2</v>
      </c>
      <c r="M39" s="13" t="s">
        <v>35</v>
      </c>
      <c r="N39" s="13">
        <v>0.8</v>
      </c>
      <c r="O39" s="13">
        <v>200</v>
      </c>
      <c r="Q39" s="18">
        <v>43868</v>
      </c>
      <c r="R39" s="19">
        <v>0.29375000000000001</v>
      </c>
      <c r="S39" s="17" t="s">
        <v>18</v>
      </c>
      <c r="T39" s="17">
        <v>10.31</v>
      </c>
      <c r="U39" s="17">
        <v>100</v>
      </c>
    </row>
    <row r="40" spans="5:21" x14ac:dyDescent="0.25">
      <c r="E40" s="10">
        <v>43933</v>
      </c>
      <c r="F40" s="11">
        <v>0.8520833333333333</v>
      </c>
      <c r="G40" t="s">
        <v>20</v>
      </c>
      <c r="H40">
        <v>4.97</v>
      </c>
      <c r="I40">
        <v>200</v>
      </c>
      <c r="K40" s="14">
        <v>44047</v>
      </c>
      <c r="L40" s="15">
        <v>0.12013888888888889</v>
      </c>
      <c r="M40" s="13" t="s">
        <v>35</v>
      </c>
      <c r="N40" s="13">
        <v>4.7</v>
      </c>
      <c r="O40" s="13">
        <v>250</v>
      </c>
      <c r="Q40" s="18">
        <v>43841</v>
      </c>
      <c r="R40" s="19">
        <v>0.2951388888888889</v>
      </c>
      <c r="S40" s="17" t="s">
        <v>11</v>
      </c>
      <c r="T40" s="17">
        <v>10.02</v>
      </c>
      <c r="U40" s="17">
        <v>250</v>
      </c>
    </row>
    <row r="41" spans="5:21" x14ac:dyDescent="0.25">
      <c r="E41" s="10">
        <v>43933</v>
      </c>
      <c r="F41" s="11">
        <v>0.69930555555555562</v>
      </c>
      <c r="G41" t="s">
        <v>20</v>
      </c>
      <c r="H41">
        <v>3.84</v>
      </c>
      <c r="I41">
        <v>225</v>
      </c>
      <c r="K41" s="14">
        <v>44047</v>
      </c>
      <c r="L41" s="15">
        <v>3.4027777777777775E-2</v>
      </c>
      <c r="M41" s="13" t="s">
        <v>35</v>
      </c>
      <c r="N41" s="13">
        <v>15.9</v>
      </c>
      <c r="O41" s="13">
        <v>200</v>
      </c>
      <c r="Q41" s="18">
        <v>43841</v>
      </c>
      <c r="R41" s="19">
        <v>0.18472222222222223</v>
      </c>
      <c r="S41" s="17" t="s">
        <v>24</v>
      </c>
      <c r="T41" s="17">
        <v>2.2400000000000002</v>
      </c>
      <c r="U41" s="17">
        <v>100</v>
      </c>
    </row>
    <row r="42" spans="5:21" x14ac:dyDescent="0.25">
      <c r="E42" s="10">
        <v>43933</v>
      </c>
      <c r="F42" s="11">
        <v>0.89374999999999993</v>
      </c>
      <c r="G42" t="s">
        <v>20</v>
      </c>
      <c r="H42">
        <v>3.8</v>
      </c>
      <c r="I42">
        <v>400</v>
      </c>
      <c r="K42" s="14">
        <v>44047</v>
      </c>
      <c r="L42" s="15">
        <v>4.7222222222222221E-2</v>
      </c>
      <c r="M42" s="13" t="s">
        <v>35</v>
      </c>
      <c r="N42" s="13">
        <v>11.7</v>
      </c>
      <c r="O42" s="13">
        <v>100</v>
      </c>
      <c r="Q42" s="18">
        <v>43967</v>
      </c>
      <c r="R42" s="19">
        <v>0.53263888888888888</v>
      </c>
      <c r="S42" s="17" t="s">
        <v>6</v>
      </c>
      <c r="T42" s="17">
        <v>2.17</v>
      </c>
      <c r="U42" s="17">
        <v>250</v>
      </c>
    </row>
    <row r="43" spans="5:21" x14ac:dyDescent="0.25">
      <c r="E43" s="10">
        <v>43933</v>
      </c>
      <c r="F43" s="11">
        <v>0.89027777777777783</v>
      </c>
      <c r="G43" t="s">
        <v>20</v>
      </c>
      <c r="H43">
        <v>3.56</v>
      </c>
      <c r="I43">
        <v>110</v>
      </c>
      <c r="K43" s="14">
        <v>44047</v>
      </c>
      <c r="L43" s="15">
        <v>0.17083333333333331</v>
      </c>
      <c r="M43" s="13" t="s">
        <v>35</v>
      </c>
      <c r="N43" s="13">
        <v>2.2000000000000002</v>
      </c>
      <c r="O43" s="13">
        <v>100</v>
      </c>
      <c r="Q43" s="18">
        <v>44153</v>
      </c>
      <c r="R43" s="19">
        <v>0.72916666666666663</v>
      </c>
      <c r="S43" s="17" t="s">
        <v>25</v>
      </c>
      <c r="T43" s="17">
        <v>4.3899999999999997</v>
      </c>
      <c r="U43" s="17">
        <v>2</v>
      </c>
    </row>
    <row r="44" spans="5:21" x14ac:dyDescent="0.25">
      <c r="E44" s="10">
        <v>43933</v>
      </c>
      <c r="F44" s="11">
        <v>0.82708333333333339</v>
      </c>
      <c r="G44" t="s">
        <v>20</v>
      </c>
      <c r="H44">
        <v>2.97</v>
      </c>
      <c r="I44">
        <v>200</v>
      </c>
      <c r="K44" s="14">
        <v>44047</v>
      </c>
      <c r="L44" s="15">
        <v>0.15277777777777776</v>
      </c>
      <c r="M44" s="13" t="s">
        <v>35</v>
      </c>
      <c r="N44" s="13">
        <v>15.61</v>
      </c>
      <c r="O44" s="13">
        <v>500</v>
      </c>
      <c r="Q44" s="18">
        <v>43950</v>
      </c>
      <c r="R44" s="19">
        <v>0.7319444444444444</v>
      </c>
      <c r="S44" s="17" t="s">
        <v>19</v>
      </c>
      <c r="T44" s="17">
        <v>0.96</v>
      </c>
      <c r="U44" s="17">
        <v>150</v>
      </c>
    </row>
    <row r="45" spans="5:21" x14ac:dyDescent="0.25">
      <c r="E45" s="10">
        <v>43933</v>
      </c>
      <c r="F45" s="11">
        <v>0.79999999999999993</v>
      </c>
      <c r="G45" t="s">
        <v>20</v>
      </c>
      <c r="H45">
        <v>2.9</v>
      </c>
      <c r="I45">
        <v>1000</v>
      </c>
      <c r="K45" s="14">
        <v>44049</v>
      </c>
      <c r="L45" s="15">
        <v>0.58472222222222225</v>
      </c>
      <c r="M45" s="13" t="s">
        <v>35</v>
      </c>
      <c r="N45" s="13">
        <v>2.58</v>
      </c>
      <c r="O45" s="13">
        <v>100</v>
      </c>
      <c r="Q45" s="18">
        <v>43974</v>
      </c>
      <c r="R45" s="19">
        <v>0.53680555555555554</v>
      </c>
      <c r="S45" s="17" t="s">
        <v>23</v>
      </c>
      <c r="T45" s="17">
        <v>1.45</v>
      </c>
      <c r="U45" s="17">
        <v>20</v>
      </c>
    </row>
    <row r="46" spans="5:21" x14ac:dyDescent="0.25">
      <c r="E46" s="10">
        <v>43933</v>
      </c>
      <c r="F46" s="11">
        <v>0.84166666666666667</v>
      </c>
      <c r="G46" t="s">
        <v>20</v>
      </c>
      <c r="H46">
        <v>2.5</v>
      </c>
      <c r="I46">
        <v>350</v>
      </c>
      <c r="K46" s="14">
        <v>44049</v>
      </c>
      <c r="L46" s="15">
        <v>0.61805555555555558</v>
      </c>
      <c r="M46" s="13" t="s">
        <v>35</v>
      </c>
      <c r="N46" s="13">
        <v>0.16</v>
      </c>
      <c r="O46" s="13">
        <v>75</v>
      </c>
      <c r="Q46" s="18">
        <v>43841</v>
      </c>
      <c r="R46" s="19">
        <v>0.17152777777777775</v>
      </c>
      <c r="S46" s="17" t="s">
        <v>24</v>
      </c>
      <c r="T46" s="17">
        <v>2.5499999999999998</v>
      </c>
      <c r="U46" s="17">
        <v>270</v>
      </c>
    </row>
    <row r="47" spans="5:21" x14ac:dyDescent="0.25">
      <c r="E47" s="10">
        <v>43933</v>
      </c>
      <c r="F47" s="11">
        <v>0.8847222222222223</v>
      </c>
      <c r="G47" t="s">
        <v>20</v>
      </c>
      <c r="H47">
        <v>2.42</v>
      </c>
      <c r="I47">
        <v>350</v>
      </c>
      <c r="K47" s="14">
        <v>44103</v>
      </c>
      <c r="L47" s="15">
        <v>0.85625000000000007</v>
      </c>
      <c r="M47" s="13" t="s">
        <v>35</v>
      </c>
      <c r="N47" s="13">
        <v>1.5</v>
      </c>
      <c r="O47" s="13">
        <v>50</v>
      </c>
      <c r="Q47" s="18">
        <v>43940</v>
      </c>
      <c r="R47" s="19">
        <v>0.90902777777777777</v>
      </c>
      <c r="S47" s="17" t="s">
        <v>20</v>
      </c>
      <c r="T47" s="17">
        <v>1.21</v>
      </c>
      <c r="U47" s="17">
        <v>300</v>
      </c>
    </row>
    <row r="48" spans="5:21" x14ac:dyDescent="0.25">
      <c r="E48" s="10">
        <v>43933</v>
      </c>
      <c r="F48" s="11">
        <v>0.86805555555555547</v>
      </c>
      <c r="G48" t="s">
        <v>20</v>
      </c>
      <c r="H48">
        <v>1.95</v>
      </c>
      <c r="I48">
        <v>154</v>
      </c>
      <c r="K48" s="14">
        <v>44103</v>
      </c>
      <c r="L48" s="15">
        <v>0.87222222222222223</v>
      </c>
      <c r="M48" s="13" t="s">
        <v>35</v>
      </c>
      <c r="N48" s="13">
        <v>4.3</v>
      </c>
      <c r="O48" s="13">
        <v>75</v>
      </c>
      <c r="Q48" s="18">
        <v>43841</v>
      </c>
      <c r="R48" s="19">
        <v>5.8333333333333327E-2</v>
      </c>
      <c r="S48" s="17" t="s">
        <v>26</v>
      </c>
      <c r="T48" s="17">
        <v>31.79</v>
      </c>
      <c r="U48" s="17">
        <v>300</v>
      </c>
    </row>
    <row r="49" spans="5:21" x14ac:dyDescent="0.25">
      <c r="E49" s="10">
        <v>43933</v>
      </c>
      <c r="F49" s="11">
        <v>0.64861111111111114</v>
      </c>
      <c r="G49" t="s">
        <v>20</v>
      </c>
      <c r="H49">
        <v>1.79</v>
      </c>
      <c r="I49">
        <v>350</v>
      </c>
      <c r="K49" s="14">
        <v>44189</v>
      </c>
      <c r="L49" s="15">
        <v>0.93125000000000002</v>
      </c>
      <c r="M49" s="13" t="s">
        <v>35</v>
      </c>
      <c r="N49" s="13">
        <v>0.3</v>
      </c>
      <c r="O49" s="13">
        <v>150</v>
      </c>
      <c r="Q49" s="18">
        <v>43992</v>
      </c>
      <c r="R49" s="19">
        <v>0.6791666666666667</v>
      </c>
      <c r="S49" s="17" t="s">
        <v>27</v>
      </c>
      <c r="T49" s="17">
        <v>5.9</v>
      </c>
      <c r="U49" s="17">
        <v>300</v>
      </c>
    </row>
    <row r="50" spans="5:21" x14ac:dyDescent="0.25">
      <c r="E50" s="10">
        <v>43933</v>
      </c>
      <c r="F50" s="11">
        <v>0.62569444444444444</v>
      </c>
      <c r="G50" t="s">
        <v>20</v>
      </c>
      <c r="H50">
        <v>1.51</v>
      </c>
      <c r="I50">
        <v>200</v>
      </c>
      <c r="K50" s="14">
        <v>44189</v>
      </c>
      <c r="L50" s="15">
        <v>0.93611111111111101</v>
      </c>
      <c r="M50" s="13" t="s">
        <v>35</v>
      </c>
      <c r="N50" s="13">
        <v>2.2000000000000002</v>
      </c>
      <c r="O50" s="13">
        <v>200</v>
      </c>
      <c r="Q50" s="18">
        <v>43841</v>
      </c>
      <c r="R50" s="19">
        <v>0.29722222222222222</v>
      </c>
      <c r="S50" s="17" t="s">
        <v>24</v>
      </c>
      <c r="T50" s="17">
        <v>5.71</v>
      </c>
      <c r="U50" s="17">
        <v>120</v>
      </c>
    </row>
    <row r="51" spans="5:21" x14ac:dyDescent="0.25">
      <c r="E51" s="10">
        <v>43933</v>
      </c>
      <c r="F51" s="11">
        <v>0.71111111111111114</v>
      </c>
      <c r="G51" t="s">
        <v>20</v>
      </c>
      <c r="H51">
        <v>0.78</v>
      </c>
      <c r="I51">
        <v>115</v>
      </c>
      <c r="K51" s="14">
        <v>43840</v>
      </c>
      <c r="L51" s="15">
        <v>0.97291666666666676</v>
      </c>
      <c r="M51" s="13" t="s">
        <v>6</v>
      </c>
      <c r="N51" s="13">
        <v>0.8</v>
      </c>
      <c r="O51" s="13">
        <v>75</v>
      </c>
      <c r="Q51" s="18">
        <v>43908</v>
      </c>
      <c r="R51" s="19">
        <v>0.85</v>
      </c>
      <c r="S51" s="17" t="s">
        <v>6</v>
      </c>
      <c r="T51" s="17">
        <v>5.19</v>
      </c>
      <c r="U51" s="17">
        <v>375</v>
      </c>
    </row>
    <row r="52" spans="5:21" x14ac:dyDescent="0.25">
      <c r="E52" s="10">
        <v>43933</v>
      </c>
      <c r="F52" s="11">
        <v>0.84444444444444444</v>
      </c>
      <c r="G52" t="s">
        <v>20</v>
      </c>
      <c r="H52">
        <v>0.77</v>
      </c>
      <c r="I52">
        <v>100</v>
      </c>
      <c r="K52" s="14">
        <v>43840</v>
      </c>
      <c r="L52" s="15">
        <v>0.76527777777777783</v>
      </c>
      <c r="M52" s="13" t="s">
        <v>6</v>
      </c>
      <c r="N52" s="13">
        <v>0.14000000000000001</v>
      </c>
      <c r="O52" s="13">
        <v>100</v>
      </c>
      <c r="Q52" s="18">
        <v>44014</v>
      </c>
      <c r="R52" s="19">
        <v>0.72916666666666663</v>
      </c>
      <c r="S52" s="17" t="s">
        <v>28</v>
      </c>
      <c r="T52" s="17">
        <v>3.4</v>
      </c>
      <c r="U52" s="17">
        <v>250</v>
      </c>
    </row>
    <row r="53" spans="5:21" x14ac:dyDescent="0.25">
      <c r="E53" s="10">
        <v>43933</v>
      </c>
      <c r="F53" s="11">
        <v>0.6972222222222223</v>
      </c>
      <c r="G53" t="s">
        <v>20</v>
      </c>
      <c r="H53">
        <v>0.47</v>
      </c>
      <c r="I53">
        <v>125</v>
      </c>
      <c r="K53" s="14">
        <v>43840</v>
      </c>
      <c r="L53" s="15">
        <v>0.61527777777777781</v>
      </c>
      <c r="M53" s="13" t="s">
        <v>6</v>
      </c>
      <c r="N53" s="13">
        <v>0.4</v>
      </c>
      <c r="O53" s="13">
        <v>75</v>
      </c>
      <c r="Q53" s="18">
        <v>43967</v>
      </c>
      <c r="R53" s="19">
        <v>0.56597222222222221</v>
      </c>
      <c r="S53" s="17" t="s">
        <v>29</v>
      </c>
      <c r="T53" s="17">
        <v>2.2400000000000002</v>
      </c>
      <c r="U53" s="17">
        <v>20</v>
      </c>
    </row>
    <row r="54" spans="5:21" x14ac:dyDescent="0.25">
      <c r="E54" s="10">
        <v>43933</v>
      </c>
      <c r="F54" s="11">
        <v>0.8354166666666667</v>
      </c>
      <c r="G54" t="s">
        <v>20</v>
      </c>
      <c r="H54">
        <v>0.41</v>
      </c>
      <c r="I54">
        <v>100</v>
      </c>
      <c r="K54" s="14">
        <v>43840</v>
      </c>
      <c r="L54" s="15">
        <v>0.77916666666666667</v>
      </c>
      <c r="M54" s="13" t="s">
        <v>6</v>
      </c>
      <c r="N54" s="13">
        <v>1.1000000000000001</v>
      </c>
      <c r="O54" s="13">
        <v>175</v>
      </c>
      <c r="Q54" s="18">
        <v>43908</v>
      </c>
      <c r="R54" s="19">
        <v>0.84722222222222221</v>
      </c>
      <c r="S54" s="17" t="s">
        <v>6</v>
      </c>
      <c r="T54" s="17">
        <v>4.0199999999999996</v>
      </c>
      <c r="U54" s="17">
        <v>575</v>
      </c>
    </row>
    <row r="55" spans="5:21" x14ac:dyDescent="0.25">
      <c r="E55" s="10">
        <v>43933</v>
      </c>
      <c r="F55" s="11">
        <v>0.84097222222222223</v>
      </c>
      <c r="G55" t="s">
        <v>20</v>
      </c>
      <c r="H55">
        <v>0.35</v>
      </c>
      <c r="I55">
        <v>70</v>
      </c>
      <c r="K55" s="14">
        <v>43840</v>
      </c>
      <c r="L55" s="15">
        <v>0.7368055555555556</v>
      </c>
      <c r="M55" s="13" t="s">
        <v>6</v>
      </c>
      <c r="N55" s="13">
        <v>1.05</v>
      </c>
      <c r="O55" s="13">
        <v>250</v>
      </c>
      <c r="Q55" s="18">
        <v>44036</v>
      </c>
      <c r="R55" s="19">
        <v>0.70833333333333337</v>
      </c>
      <c r="S55" s="17" t="s">
        <v>30</v>
      </c>
      <c r="T55" s="17">
        <v>0.36</v>
      </c>
      <c r="U55" s="17">
        <v>50</v>
      </c>
    </row>
    <row r="56" spans="5:21" x14ac:dyDescent="0.25">
      <c r="E56" s="10">
        <v>43940</v>
      </c>
      <c r="F56" s="11">
        <v>0.93055555555555547</v>
      </c>
      <c r="G56" t="s">
        <v>20</v>
      </c>
      <c r="H56">
        <v>24.37</v>
      </c>
      <c r="I56">
        <v>150</v>
      </c>
      <c r="K56" s="14">
        <v>43840</v>
      </c>
      <c r="L56" s="15">
        <v>0.98819444444444438</v>
      </c>
      <c r="M56" s="13" t="s">
        <v>6</v>
      </c>
      <c r="N56" s="13">
        <v>4.24</v>
      </c>
      <c r="O56" s="13">
        <v>500</v>
      </c>
      <c r="Q56" s="18">
        <v>44053</v>
      </c>
      <c r="R56" s="19">
        <v>0.62430555555555556</v>
      </c>
      <c r="S56" s="17" t="s">
        <v>15</v>
      </c>
      <c r="T56" s="17">
        <v>3.19</v>
      </c>
      <c r="U56" s="17">
        <v>300</v>
      </c>
    </row>
    <row r="57" spans="5:21" x14ac:dyDescent="0.25">
      <c r="E57" s="10">
        <v>43940</v>
      </c>
      <c r="F57" s="11">
        <v>0.91319444444444453</v>
      </c>
      <c r="G57" t="s">
        <v>20</v>
      </c>
      <c r="H57">
        <v>8.9</v>
      </c>
      <c r="I57">
        <v>100</v>
      </c>
      <c r="K57" s="14">
        <v>43840</v>
      </c>
      <c r="L57" s="15">
        <v>0.89861111111111114</v>
      </c>
      <c r="M57" s="13" t="s">
        <v>6</v>
      </c>
      <c r="N57" s="13">
        <v>0.11</v>
      </c>
      <c r="O57" s="13">
        <v>100</v>
      </c>
      <c r="Q57" s="18">
        <v>43933</v>
      </c>
      <c r="R57" s="19">
        <v>0.96250000000000002</v>
      </c>
      <c r="S57" s="17" t="s">
        <v>9</v>
      </c>
      <c r="T57" s="17">
        <v>12.76</v>
      </c>
      <c r="U57" s="17">
        <v>250</v>
      </c>
    </row>
    <row r="58" spans="5:21" x14ac:dyDescent="0.25">
      <c r="E58" s="10">
        <v>43940</v>
      </c>
      <c r="F58" s="11">
        <v>0.94861111111111107</v>
      </c>
      <c r="G58" t="s">
        <v>20</v>
      </c>
      <c r="H58">
        <v>6.45</v>
      </c>
      <c r="I58">
        <v>100</v>
      </c>
      <c r="K58" s="14">
        <v>43840</v>
      </c>
      <c r="L58" s="15">
        <v>0.98125000000000007</v>
      </c>
      <c r="M58" s="13" t="s">
        <v>6</v>
      </c>
      <c r="N58" s="13">
        <v>2.13</v>
      </c>
      <c r="O58" s="13">
        <v>160</v>
      </c>
      <c r="Q58" s="18">
        <v>43940</v>
      </c>
      <c r="R58" s="19">
        <v>0.75624999999999998</v>
      </c>
      <c r="S58" s="17" t="s">
        <v>24</v>
      </c>
      <c r="T58" s="17">
        <v>53.76</v>
      </c>
      <c r="U58" s="17">
        <v>2275</v>
      </c>
    </row>
    <row r="59" spans="5:21" x14ac:dyDescent="0.25">
      <c r="E59" s="10">
        <v>43940</v>
      </c>
      <c r="F59" s="11">
        <v>0.94444444444444453</v>
      </c>
      <c r="G59" t="s">
        <v>20</v>
      </c>
      <c r="H59">
        <v>5.18</v>
      </c>
      <c r="I59">
        <v>300</v>
      </c>
      <c r="K59" s="14">
        <v>43840</v>
      </c>
      <c r="L59" s="15">
        <v>0.76041666666666663</v>
      </c>
      <c r="M59" s="13" t="s">
        <v>6</v>
      </c>
      <c r="N59" s="13">
        <v>0.45</v>
      </c>
      <c r="O59" s="13">
        <v>150</v>
      </c>
      <c r="Q59" s="18">
        <v>43991</v>
      </c>
      <c r="R59" s="19">
        <v>0.72499999999999998</v>
      </c>
      <c r="S59" s="17" t="s">
        <v>15</v>
      </c>
      <c r="T59" s="17">
        <v>4.3600000000000003</v>
      </c>
      <c r="U59" s="17">
        <v>75</v>
      </c>
    </row>
    <row r="60" spans="5:21" x14ac:dyDescent="0.25">
      <c r="E60" s="10">
        <v>43940</v>
      </c>
      <c r="F60" s="11">
        <v>0.91875000000000007</v>
      </c>
      <c r="G60" t="s">
        <v>20</v>
      </c>
      <c r="H60">
        <v>4.4000000000000004</v>
      </c>
      <c r="I60">
        <v>50</v>
      </c>
      <c r="K60" s="14">
        <v>43840</v>
      </c>
      <c r="L60" s="15">
        <v>0.99513888888888891</v>
      </c>
      <c r="M60" s="13" t="s">
        <v>6</v>
      </c>
      <c r="N60" s="13">
        <v>0.31</v>
      </c>
      <c r="O60" s="13">
        <v>150</v>
      </c>
      <c r="Q60" s="18">
        <v>44002</v>
      </c>
      <c r="R60" s="19">
        <v>0.68402777777777779</v>
      </c>
      <c r="S60" s="17" t="s">
        <v>28</v>
      </c>
      <c r="T60" s="17">
        <v>0.01</v>
      </c>
      <c r="U60" s="17">
        <v>10</v>
      </c>
    </row>
    <row r="61" spans="5:21" x14ac:dyDescent="0.25">
      <c r="E61" s="10">
        <v>43940</v>
      </c>
      <c r="F61" s="11">
        <v>0.92083333333333339</v>
      </c>
      <c r="G61" t="s">
        <v>20</v>
      </c>
      <c r="H61">
        <v>3.17</v>
      </c>
      <c r="I61">
        <v>75</v>
      </c>
      <c r="K61" s="14">
        <v>43841</v>
      </c>
      <c r="L61" s="15">
        <v>2.7083333333333334E-2</v>
      </c>
      <c r="M61" s="13" t="s">
        <v>6</v>
      </c>
      <c r="N61" s="13">
        <v>6.07</v>
      </c>
      <c r="O61" s="13">
        <v>400</v>
      </c>
      <c r="Q61" s="18">
        <v>43929</v>
      </c>
      <c r="R61" s="19">
        <v>0.84097222222222223</v>
      </c>
      <c r="S61" s="17" t="s">
        <v>22</v>
      </c>
      <c r="T61" s="17">
        <v>0.15</v>
      </c>
      <c r="U61" s="17">
        <v>60</v>
      </c>
    </row>
    <row r="62" spans="5:21" x14ac:dyDescent="0.25">
      <c r="E62" s="10">
        <v>43940</v>
      </c>
      <c r="F62" s="11">
        <v>0.93888888888888899</v>
      </c>
      <c r="G62" t="s">
        <v>20</v>
      </c>
      <c r="H62">
        <v>1.82</v>
      </c>
      <c r="I62">
        <v>100</v>
      </c>
      <c r="K62" s="14">
        <v>43841</v>
      </c>
      <c r="L62" s="15">
        <v>2.0833333333333332E-2</v>
      </c>
      <c r="M62" s="13" t="s">
        <v>6</v>
      </c>
      <c r="N62" s="13">
        <v>3</v>
      </c>
      <c r="O62" s="13">
        <v>100</v>
      </c>
      <c r="Q62" s="18">
        <v>43934</v>
      </c>
      <c r="R62" s="19">
        <v>0.30069444444444443</v>
      </c>
      <c r="S62" s="17" t="s">
        <v>14</v>
      </c>
      <c r="T62" s="17">
        <v>2.82</v>
      </c>
      <c r="U62" s="17">
        <v>50</v>
      </c>
    </row>
    <row r="63" spans="5:21" x14ac:dyDescent="0.25">
      <c r="E63" s="10">
        <v>43940</v>
      </c>
      <c r="F63" s="11">
        <v>0.94791666666666663</v>
      </c>
      <c r="G63" t="s">
        <v>20</v>
      </c>
      <c r="H63">
        <v>1.49</v>
      </c>
      <c r="I63">
        <v>500</v>
      </c>
      <c r="K63" s="14">
        <v>43841</v>
      </c>
      <c r="L63" s="15">
        <v>1.2499999999999999E-2</v>
      </c>
      <c r="M63" s="13" t="s">
        <v>6</v>
      </c>
      <c r="N63" s="13">
        <v>0.52</v>
      </c>
      <c r="O63" s="13">
        <v>150</v>
      </c>
      <c r="Q63" s="18">
        <v>43944</v>
      </c>
      <c r="R63" s="19">
        <v>0.44027777777777777</v>
      </c>
      <c r="S63" s="17" t="s">
        <v>9</v>
      </c>
      <c r="T63" s="17">
        <v>37.24</v>
      </c>
      <c r="U63" s="17">
        <v>650</v>
      </c>
    </row>
    <row r="64" spans="5:21" x14ac:dyDescent="0.25">
      <c r="E64" s="10">
        <v>43940</v>
      </c>
      <c r="F64" s="11">
        <v>0.92013888888888884</v>
      </c>
      <c r="G64" t="s">
        <v>20</v>
      </c>
      <c r="H64">
        <v>1.3</v>
      </c>
      <c r="I64">
        <v>75</v>
      </c>
      <c r="K64" s="14">
        <v>43858</v>
      </c>
      <c r="L64" s="15">
        <v>0.63541666666666663</v>
      </c>
      <c r="M64" s="13" t="s">
        <v>6</v>
      </c>
      <c r="N64" s="13">
        <v>1.74</v>
      </c>
      <c r="O64" s="13">
        <v>10</v>
      </c>
      <c r="Q64" s="18">
        <v>44075</v>
      </c>
      <c r="R64" s="19">
        <v>0.63472222222222219</v>
      </c>
      <c r="S64" s="17" t="s">
        <v>17</v>
      </c>
      <c r="T64" s="17">
        <v>2.1</v>
      </c>
      <c r="U64" s="17">
        <v>50</v>
      </c>
    </row>
    <row r="65" spans="5:21" x14ac:dyDescent="0.25">
      <c r="E65" s="10">
        <v>43940</v>
      </c>
      <c r="F65" s="11">
        <v>0.90902777777777777</v>
      </c>
      <c r="G65" t="s">
        <v>20</v>
      </c>
      <c r="H65">
        <v>1.21</v>
      </c>
      <c r="I65">
        <v>300</v>
      </c>
      <c r="K65" s="14">
        <v>43903</v>
      </c>
      <c r="L65" s="15">
        <v>0.80069444444444438</v>
      </c>
      <c r="M65" s="13" t="s">
        <v>6</v>
      </c>
      <c r="N65" s="13">
        <v>0.47</v>
      </c>
      <c r="O65" s="13">
        <v>20</v>
      </c>
      <c r="Q65" s="18">
        <v>43934</v>
      </c>
      <c r="R65" s="19">
        <v>0.17361111111111113</v>
      </c>
      <c r="S65" s="17" t="s">
        <v>10</v>
      </c>
      <c r="T65" s="17">
        <v>23.73</v>
      </c>
      <c r="U65" s="17">
        <v>1300</v>
      </c>
    </row>
    <row r="66" spans="5:21" x14ac:dyDescent="0.25">
      <c r="E66" s="10">
        <v>43940</v>
      </c>
      <c r="F66" s="11">
        <v>0.9458333333333333</v>
      </c>
      <c r="G66" t="s">
        <v>20</v>
      </c>
      <c r="H66">
        <v>0.71</v>
      </c>
      <c r="I66">
        <v>50</v>
      </c>
      <c r="K66" s="14">
        <v>43903</v>
      </c>
      <c r="L66" s="15">
        <v>0.78680555555555554</v>
      </c>
      <c r="M66" s="13" t="s">
        <v>6</v>
      </c>
      <c r="N66" s="13">
        <v>8.9700000000000006</v>
      </c>
      <c r="O66" s="13">
        <v>300</v>
      </c>
      <c r="Q66" s="18">
        <v>44070</v>
      </c>
      <c r="R66" s="19">
        <v>0.75902777777777775</v>
      </c>
      <c r="S66" s="17" t="s">
        <v>29</v>
      </c>
      <c r="T66" s="17">
        <v>2.15</v>
      </c>
      <c r="U66" s="17">
        <v>80</v>
      </c>
    </row>
    <row r="67" spans="5:21" x14ac:dyDescent="0.25">
      <c r="E67" s="10">
        <v>43940</v>
      </c>
      <c r="F67" s="11">
        <v>0.94861111111111107</v>
      </c>
      <c r="G67" t="s">
        <v>20</v>
      </c>
      <c r="H67">
        <v>0.47</v>
      </c>
      <c r="I67">
        <v>300</v>
      </c>
      <c r="K67" s="14">
        <v>43907</v>
      </c>
      <c r="L67" s="15">
        <v>0.64236111111111105</v>
      </c>
      <c r="M67" s="13" t="s">
        <v>6</v>
      </c>
      <c r="N67" s="13">
        <v>7.0000000000000007E-2</v>
      </c>
      <c r="O67" s="13">
        <v>35</v>
      </c>
      <c r="Q67" s="18">
        <v>43841</v>
      </c>
      <c r="R67" s="19">
        <v>4.027777777777778E-2</v>
      </c>
      <c r="S67" s="17" t="s">
        <v>29</v>
      </c>
      <c r="T67" s="17">
        <v>0.43</v>
      </c>
      <c r="U67" s="17">
        <v>130</v>
      </c>
    </row>
    <row r="68" spans="5:21" x14ac:dyDescent="0.25">
      <c r="E68" s="10">
        <v>43944</v>
      </c>
      <c r="F68" s="11">
        <v>0.23402777777777781</v>
      </c>
      <c r="G68" t="s">
        <v>20</v>
      </c>
      <c r="H68">
        <v>0.55000000000000004</v>
      </c>
      <c r="I68">
        <v>75</v>
      </c>
      <c r="K68" s="14">
        <v>43908</v>
      </c>
      <c r="L68" s="15">
        <v>0.85</v>
      </c>
      <c r="M68" s="13" t="s">
        <v>6</v>
      </c>
      <c r="N68" s="13">
        <v>5.19</v>
      </c>
      <c r="O68" s="13">
        <v>375</v>
      </c>
      <c r="Q68" s="18">
        <v>43840</v>
      </c>
      <c r="R68" s="19">
        <v>0.82291666666666663</v>
      </c>
      <c r="S68" s="17" t="s">
        <v>29</v>
      </c>
      <c r="T68" s="17">
        <v>3.9</v>
      </c>
      <c r="U68" s="17">
        <v>400</v>
      </c>
    </row>
    <row r="69" spans="5:21" x14ac:dyDescent="0.25">
      <c r="E69" s="10">
        <v>43944</v>
      </c>
      <c r="F69" s="11">
        <v>0.32083333333333336</v>
      </c>
      <c r="G69" t="s">
        <v>20</v>
      </c>
      <c r="H69">
        <v>0.37</v>
      </c>
      <c r="I69">
        <v>50</v>
      </c>
      <c r="K69" s="14">
        <v>43908</v>
      </c>
      <c r="L69" s="15">
        <v>0.84722222222222221</v>
      </c>
      <c r="M69" s="13" t="s">
        <v>6</v>
      </c>
      <c r="N69" s="13">
        <v>4.0199999999999996</v>
      </c>
      <c r="O69" s="13">
        <v>575</v>
      </c>
      <c r="Q69" s="18">
        <v>43933</v>
      </c>
      <c r="R69" s="19">
        <v>0.60416666666666663</v>
      </c>
      <c r="S69" s="17" t="s">
        <v>24</v>
      </c>
      <c r="T69" s="17">
        <v>8.49</v>
      </c>
      <c r="U69" s="17">
        <v>1100</v>
      </c>
    </row>
    <row r="70" spans="5:21" x14ac:dyDescent="0.25">
      <c r="E70" s="10">
        <v>43944</v>
      </c>
      <c r="F70" s="11">
        <v>0.32847222222222222</v>
      </c>
      <c r="G70" t="s">
        <v>20</v>
      </c>
      <c r="H70">
        <v>0.01</v>
      </c>
      <c r="I70">
        <v>25</v>
      </c>
      <c r="K70" s="14">
        <v>43908</v>
      </c>
      <c r="L70" s="15">
        <v>0.8305555555555556</v>
      </c>
      <c r="M70" s="13" t="s">
        <v>6</v>
      </c>
      <c r="N70" s="13">
        <v>1.82</v>
      </c>
      <c r="O70" s="13">
        <v>55</v>
      </c>
      <c r="Q70" s="18">
        <v>44070</v>
      </c>
      <c r="R70" s="19">
        <v>0.81319444444444444</v>
      </c>
      <c r="S70" s="17" t="s">
        <v>29</v>
      </c>
      <c r="T70" s="17">
        <v>3.56</v>
      </c>
      <c r="U70" s="17">
        <v>70</v>
      </c>
    </row>
    <row r="71" spans="5:21" x14ac:dyDescent="0.25">
      <c r="E71" s="10">
        <v>44006</v>
      </c>
      <c r="F71" s="11">
        <v>0.53402777777777777</v>
      </c>
      <c r="G71" t="s">
        <v>20</v>
      </c>
      <c r="H71">
        <v>2.66</v>
      </c>
      <c r="I71">
        <v>300</v>
      </c>
      <c r="K71" s="14">
        <v>43908</v>
      </c>
      <c r="L71" s="15">
        <v>0.85833333333333339</v>
      </c>
      <c r="M71" s="13" t="s">
        <v>6</v>
      </c>
      <c r="N71" s="13">
        <v>1.55</v>
      </c>
      <c r="O71" s="13">
        <v>120</v>
      </c>
      <c r="Q71" s="18">
        <v>43929</v>
      </c>
      <c r="R71" s="19">
        <v>0.88611111111111107</v>
      </c>
      <c r="S71" s="17" t="s">
        <v>11</v>
      </c>
      <c r="T71" s="17">
        <v>1.03</v>
      </c>
      <c r="U71" s="17">
        <v>50</v>
      </c>
    </row>
    <row r="72" spans="5:21" x14ac:dyDescent="0.25">
      <c r="E72" s="10">
        <v>44006</v>
      </c>
      <c r="F72" s="11">
        <v>0.52708333333333335</v>
      </c>
      <c r="G72" t="s">
        <v>20</v>
      </c>
      <c r="H72">
        <v>0.28000000000000003</v>
      </c>
      <c r="I72">
        <v>50</v>
      </c>
      <c r="K72" s="14">
        <v>43908</v>
      </c>
      <c r="L72" s="15">
        <v>0.87986111111111109</v>
      </c>
      <c r="M72" s="13" t="s">
        <v>6</v>
      </c>
      <c r="N72" s="13">
        <v>0.81</v>
      </c>
      <c r="O72" s="13">
        <v>100</v>
      </c>
      <c r="Q72" s="18">
        <v>44047</v>
      </c>
      <c r="R72" s="19">
        <v>2.5694444444444447E-2</v>
      </c>
      <c r="S72" s="17" t="s">
        <v>14</v>
      </c>
      <c r="T72" s="17">
        <v>3</v>
      </c>
      <c r="U72" s="17">
        <v>50</v>
      </c>
    </row>
    <row r="73" spans="5:21" x14ac:dyDescent="0.25">
      <c r="E73" s="10">
        <v>44038</v>
      </c>
      <c r="F73" s="11">
        <v>0.74513888888888891</v>
      </c>
      <c r="G73" t="s">
        <v>20</v>
      </c>
      <c r="H73">
        <v>0.23</v>
      </c>
      <c r="I73">
        <v>25</v>
      </c>
      <c r="K73" s="14">
        <v>43908</v>
      </c>
      <c r="L73" s="15">
        <v>0.88958333333333339</v>
      </c>
      <c r="M73" s="13" t="s">
        <v>6</v>
      </c>
      <c r="N73" s="13">
        <v>0.67</v>
      </c>
      <c r="O73" s="13">
        <v>46</v>
      </c>
      <c r="Q73" s="18">
        <v>44046</v>
      </c>
      <c r="R73" s="19">
        <v>0.77986111111111101</v>
      </c>
      <c r="S73" s="17" t="s">
        <v>14</v>
      </c>
      <c r="T73" s="17">
        <v>2.59</v>
      </c>
      <c r="U73" s="17">
        <v>30</v>
      </c>
    </row>
    <row r="74" spans="5:21" x14ac:dyDescent="0.25">
      <c r="E74" s="10">
        <v>44066</v>
      </c>
      <c r="F74" s="11">
        <v>0.46736111111111112</v>
      </c>
      <c r="G74" t="s">
        <v>20</v>
      </c>
      <c r="H74">
        <v>0.12</v>
      </c>
      <c r="I74">
        <v>50</v>
      </c>
      <c r="K74" s="14">
        <v>43908</v>
      </c>
      <c r="L74" s="15">
        <v>0.83611111111111114</v>
      </c>
      <c r="M74" s="13" t="s">
        <v>6</v>
      </c>
      <c r="N74" s="13">
        <v>1.52</v>
      </c>
      <c r="O74" s="13">
        <v>12</v>
      </c>
      <c r="Q74" s="18">
        <v>43914</v>
      </c>
      <c r="R74" s="19">
        <v>0.68541666666666667</v>
      </c>
      <c r="S74" s="17" t="s">
        <v>24</v>
      </c>
      <c r="T74" s="17">
        <v>16.88</v>
      </c>
      <c r="U74" s="17">
        <v>400</v>
      </c>
    </row>
    <row r="75" spans="5:21" x14ac:dyDescent="0.25">
      <c r="E75" s="10">
        <v>44071</v>
      </c>
      <c r="F75" s="11">
        <v>0.62638888888888888</v>
      </c>
      <c r="G75" t="s">
        <v>20</v>
      </c>
      <c r="H75">
        <v>8.75</v>
      </c>
      <c r="I75">
        <v>325</v>
      </c>
      <c r="K75" s="14">
        <v>43909</v>
      </c>
      <c r="L75" s="15">
        <v>2.0833333333333332E-2</v>
      </c>
      <c r="M75" s="13" t="s">
        <v>6</v>
      </c>
      <c r="N75" s="13">
        <v>0.23</v>
      </c>
      <c r="O75" s="13">
        <v>35</v>
      </c>
      <c r="Q75" s="18">
        <v>43969</v>
      </c>
      <c r="R75" s="19">
        <v>0.55625000000000002</v>
      </c>
      <c r="S75" s="17" t="s">
        <v>25</v>
      </c>
      <c r="T75" s="17">
        <v>0.1</v>
      </c>
      <c r="U75" s="17">
        <v>20</v>
      </c>
    </row>
    <row r="76" spans="5:21" x14ac:dyDescent="0.25">
      <c r="E76" s="10">
        <v>44071</v>
      </c>
      <c r="F76" s="11">
        <v>0.68541666666666667</v>
      </c>
      <c r="G76" t="s">
        <v>20</v>
      </c>
      <c r="H76">
        <v>5.56</v>
      </c>
      <c r="I76">
        <v>115</v>
      </c>
      <c r="K76" s="14">
        <v>43909</v>
      </c>
      <c r="L76" s="15">
        <v>2.9861111111111113E-2</v>
      </c>
      <c r="M76" s="13" t="s">
        <v>6</v>
      </c>
      <c r="N76" s="13">
        <v>5.38</v>
      </c>
      <c r="O76" s="13">
        <v>135</v>
      </c>
      <c r="Q76" s="18">
        <v>44057</v>
      </c>
      <c r="R76" s="19">
        <v>0.74236111111111114</v>
      </c>
      <c r="S76" s="17" t="s">
        <v>8</v>
      </c>
      <c r="T76" s="17">
        <v>0.28000000000000003</v>
      </c>
      <c r="U76" s="17">
        <v>75</v>
      </c>
    </row>
    <row r="77" spans="5:21" x14ac:dyDescent="0.25">
      <c r="E77" s="10">
        <v>44071</v>
      </c>
      <c r="F77" s="11">
        <v>0.65</v>
      </c>
      <c r="G77" t="s">
        <v>20</v>
      </c>
      <c r="H77">
        <v>2.56</v>
      </c>
      <c r="I77">
        <v>100</v>
      </c>
      <c r="K77" s="14">
        <v>43909</v>
      </c>
      <c r="L77" s="15">
        <v>0</v>
      </c>
      <c r="M77" s="13" t="s">
        <v>6</v>
      </c>
      <c r="N77" s="13">
        <v>10.86</v>
      </c>
      <c r="O77" s="13">
        <v>425</v>
      </c>
      <c r="Q77" s="18">
        <v>43979</v>
      </c>
      <c r="R77" s="19">
        <v>0.77361111111111114</v>
      </c>
      <c r="S77" s="17" t="s">
        <v>15</v>
      </c>
      <c r="T77" s="17">
        <v>0.31</v>
      </c>
      <c r="U77" s="17">
        <v>20</v>
      </c>
    </row>
    <row r="78" spans="5:21" x14ac:dyDescent="0.25">
      <c r="E78" s="10">
        <v>44071</v>
      </c>
      <c r="F78" s="11">
        <v>0.70694444444444438</v>
      </c>
      <c r="G78" t="s">
        <v>20</v>
      </c>
      <c r="H78">
        <v>0.22</v>
      </c>
      <c r="I78">
        <v>40</v>
      </c>
      <c r="K78" s="14">
        <v>43920</v>
      </c>
      <c r="L78" s="15">
        <v>0.68194444444444446</v>
      </c>
      <c r="M78" s="13" t="s">
        <v>6</v>
      </c>
      <c r="N78" s="13">
        <v>3.55</v>
      </c>
      <c r="O78" s="13">
        <v>50</v>
      </c>
      <c r="Q78" s="18">
        <v>43981</v>
      </c>
      <c r="R78" s="19">
        <v>0.47916666666666669</v>
      </c>
      <c r="S78" s="17" t="s">
        <v>9</v>
      </c>
      <c r="T78" s="17">
        <v>0.05</v>
      </c>
      <c r="U78" s="17">
        <v>30</v>
      </c>
    </row>
    <row r="79" spans="5:21" x14ac:dyDescent="0.25">
      <c r="E79" s="10">
        <v>44114</v>
      </c>
      <c r="F79" s="11">
        <v>0.63472222222222219</v>
      </c>
      <c r="G79" t="s">
        <v>20</v>
      </c>
      <c r="H79">
        <v>0.67</v>
      </c>
      <c r="I79">
        <v>125</v>
      </c>
      <c r="K79" s="14">
        <v>43920</v>
      </c>
      <c r="L79" s="15">
        <v>0.70138888888888884</v>
      </c>
      <c r="M79" s="13" t="s">
        <v>6</v>
      </c>
      <c r="N79" s="13">
        <v>0.21</v>
      </c>
      <c r="O79" s="13">
        <v>20</v>
      </c>
      <c r="Q79" s="18">
        <v>43909</v>
      </c>
      <c r="R79" s="19">
        <v>0.64027777777777783</v>
      </c>
      <c r="S79" s="17" t="s">
        <v>15</v>
      </c>
      <c r="T79" s="17">
        <v>2.9</v>
      </c>
      <c r="U79" s="17">
        <v>300</v>
      </c>
    </row>
    <row r="80" spans="5:21" x14ac:dyDescent="0.25">
      <c r="E80" s="10">
        <v>44114</v>
      </c>
      <c r="F80" s="11">
        <v>0.1673611111111111</v>
      </c>
      <c r="G80" t="s">
        <v>20</v>
      </c>
      <c r="H80">
        <v>0.08</v>
      </c>
      <c r="I80">
        <v>25</v>
      </c>
      <c r="K80" s="14">
        <v>43933</v>
      </c>
      <c r="L80" s="15">
        <v>0.21180555555555555</v>
      </c>
      <c r="M80" s="13" t="s">
        <v>6</v>
      </c>
      <c r="N80" s="13">
        <v>0.22</v>
      </c>
      <c r="O80" s="13">
        <v>50</v>
      </c>
      <c r="Q80" s="18">
        <v>43940</v>
      </c>
      <c r="R80" s="19">
        <v>0.93055555555555547</v>
      </c>
      <c r="S80" s="17" t="s">
        <v>20</v>
      </c>
      <c r="T80" s="17">
        <v>24.37</v>
      </c>
      <c r="U80" s="17">
        <v>150</v>
      </c>
    </row>
    <row r="81" spans="5:21" x14ac:dyDescent="0.25">
      <c r="E81" s="10">
        <v>44179</v>
      </c>
      <c r="F81" s="11">
        <v>4.3055555555555562E-2</v>
      </c>
      <c r="G81" t="s">
        <v>20</v>
      </c>
      <c r="H81">
        <v>4.8</v>
      </c>
      <c r="I81">
        <v>350</v>
      </c>
      <c r="K81" s="14">
        <v>43933</v>
      </c>
      <c r="L81" s="15">
        <v>0.33888888888888885</v>
      </c>
      <c r="M81" s="13" t="s">
        <v>6</v>
      </c>
      <c r="N81" s="13">
        <v>10.59</v>
      </c>
      <c r="O81" s="13">
        <v>100</v>
      </c>
      <c r="Q81" s="18">
        <v>43933</v>
      </c>
      <c r="R81" s="19">
        <v>0.69930555555555562</v>
      </c>
      <c r="S81" s="17" t="s">
        <v>20</v>
      </c>
      <c r="T81" s="17">
        <v>3.84</v>
      </c>
      <c r="U81" s="17">
        <v>225</v>
      </c>
    </row>
    <row r="82" spans="5:21" x14ac:dyDescent="0.25">
      <c r="E82" s="10">
        <v>43840</v>
      </c>
      <c r="F82" s="11">
        <v>0.8222222222222223</v>
      </c>
      <c r="G82" t="s">
        <v>29</v>
      </c>
      <c r="H82">
        <v>13.6</v>
      </c>
      <c r="I82">
        <v>250</v>
      </c>
      <c r="K82" s="14">
        <v>43933</v>
      </c>
      <c r="L82" s="15">
        <v>0.33749999999999997</v>
      </c>
      <c r="M82" s="13" t="s">
        <v>6</v>
      </c>
      <c r="N82" s="13">
        <v>0.74</v>
      </c>
      <c r="O82" s="13">
        <v>30</v>
      </c>
      <c r="Q82" s="18">
        <v>44029</v>
      </c>
      <c r="R82" s="19">
        <v>0.58263888888888882</v>
      </c>
      <c r="S82" s="17" t="s">
        <v>31</v>
      </c>
      <c r="T82" s="17">
        <v>0.1</v>
      </c>
      <c r="U82" s="17">
        <v>30</v>
      </c>
    </row>
    <row r="83" spans="5:21" x14ac:dyDescent="0.25">
      <c r="E83" s="10">
        <v>43840</v>
      </c>
      <c r="F83" s="11">
        <v>0.82291666666666663</v>
      </c>
      <c r="G83" t="s">
        <v>29</v>
      </c>
      <c r="H83">
        <v>3.9</v>
      </c>
      <c r="I83">
        <v>400</v>
      </c>
      <c r="K83" s="14">
        <v>43933</v>
      </c>
      <c r="L83" s="15">
        <v>2.0833333333333333E-3</v>
      </c>
      <c r="M83" s="13" t="s">
        <v>6</v>
      </c>
      <c r="N83" s="13">
        <v>5.62</v>
      </c>
      <c r="O83" s="13">
        <v>250</v>
      </c>
      <c r="Q83" s="18">
        <v>43840</v>
      </c>
      <c r="R83" s="19">
        <v>0.97291666666666676</v>
      </c>
      <c r="S83" s="17" t="s">
        <v>6</v>
      </c>
      <c r="T83" s="17">
        <v>0.8</v>
      </c>
      <c r="U83" s="17">
        <v>75</v>
      </c>
    </row>
    <row r="84" spans="5:21" x14ac:dyDescent="0.25">
      <c r="E84" s="10">
        <v>43841</v>
      </c>
      <c r="F84" s="11">
        <v>0.12986111111111112</v>
      </c>
      <c r="G84" t="s">
        <v>29</v>
      </c>
      <c r="H84">
        <v>20.51</v>
      </c>
      <c r="I84">
        <v>1000</v>
      </c>
      <c r="K84" s="14">
        <v>43933</v>
      </c>
      <c r="L84" s="15">
        <v>0.18263888888888891</v>
      </c>
      <c r="M84" s="13" t="s">
        <v>6</v>
      </c>
      <c r="N84" s="13">
        <v>6.96</v>
      </c>
      <c r="O84" s="13">
        <v>200</v>
      </c>
      <c r="Q84" s="18">
        <v>43977</v>
      </c>
      <c r="R84" s="19">
        <v>0.51944444444444449</v>
      </c>
      <c r="S84" s="17" t="s">
        <v>23</v>
      </c>
      <c r="T84" s="17">
        <v>1.69</v>
      </c>
      <c r="U84" s="17">
        <v>30</v>
      </c>
    </row>
    <row r="85" spans="5:21" x14ac:dyDescent="0.25">
      <c r="E85" s="10">
        <v>43841</v>
      </c>
      <c r="F85" s="11">
        <v>0.14791666666666667</v>
      </c>
      <c r="G85" t="s">
        <v>29</v>
      </c>
      <c r="H85">
        <v>17.66</v>
      </c>
      <c r="I85">
        <v>850</v>
      </c>
      <c r="K85" s="14">
        <v>43933</v>
      </c>
      <c r="L85" s="15">
        <v>0.15277777777777776</v>
      </c>
      <c r="M85" s="13" t="s">
        <v>6</v>
      </c>
      <c r="N85" s="13">
        <v>11.56</v>
      </c>
      <c r="O85" s="13">
        <v>150</v>
      </c>
      <c r="Q85" s="18">
        <v>44047</v>
      </c>
      <c r="R85" s="19">
        <v>0.22361111111111109</v>
      </c>
      <c r="S85" s="17" t="s">
        <v>18</v>
      </c>
      <c r="T85" s="17">
        <v>2.7</v>
      </c>
      <c r="U85" s="17">
        <v>100</v>
      </c>
    </row>
    <row r="86" spans="5:21" x14ac:dyDescent="0.25">
      <c r="E86" s="10">
        <v>43841</v>
      </c>
      <c r="F86" s="11">
        <v>0.14791666666666667</v>
      </c>
      <c r="G86" t="s">
        <v>29</v>
      </c>
      <c r="H86">
        <v>11.23</v>
      </c>
      <c r="I86">
        <v>550</v>
      </c>
      <c r="K86" s="14">
        <v>43933</v>
      </c>
      <c r="L86" s="15">
        <v>0.12847222222222224</v>
      </c>
      <c r="M86" s="13" t="s">
        <v>6</v>
      </c>
      <c r="N86" s="13">
        <v>5.12</v>
      </c>
      <c r="O86" s="13">
        <v>300</v>
      </c>
      <c r="Q86" s="18">
        <v>43933</v>
      </c>
      <c r="R86" s="19">
        <v>0.21180555555555555</v>
      </c>
      <c r="S86" s="17" t="s">
        <v>6</v>
      </c>
      <c r="T86" s="17">
        <v>0.22</v>
      </c>
      <c r="U86" s="17">
        <v>50</v>
      </c>
    </row>
    <row r="87" spans="5:21" x14ac:dyDescent="0.25">
      <c r="E87" s="10">
        <v>43841</v>
      </c>
      <c r="F87" s="11">
        <v>0.12152777777777778</v>
      </c>
      <c r="G87" t="s">
        <v>29</v>
      </c>
      <c r="H87">
        <v>10.31</v>
      </c>
      <c r="I87">
        <v>800</v>
      </c>
      <c r="K87" s="14">
        <v>43943</v>
      </c>
      <c r="L87" s="15">
        <v>0.76944444444444438</v>
      </c>
      <c r="M87" s="13" t="s">
        <v>6</v>
      </c>
      <c r="N87" s="13">
        <v>20.8</v>
      </c>
      <c r="O87" s="13">
        <v>600</v>
      </c>
      <c r="Q87" s="18">
        <v>44053</v>
      </c>
      <c r="R87" s="19">
        <v>0.6118055555555556</v>
      </c>
      <c r="S87" s="17" t="s">
        <v>15</v>
      </c>
      <c r="T87" s="17">
        <v>1.75</v>
      </c>
      <c r="U87" s="17">
        <v>150</v>
      </c>
    </row>
    <row r="88" spans="5:21" x14ac:dyDescent="0.25">
      <c r="E88" s="10">
        <v>43841</v>
      </c>
      <c r="F88" s="11">
        <v>0.12083333333333333</v>
      </c>
      <c r="G88" t="s">
        <v>29</v>
      </c>
      <c r="H88">
        <v>9.11</v>
      </c>
      <c r="I88">
        <v>800</v>
      </c>
      <c r="K88" s="14">
        <v>43943</v>
      </c>
      <c r="L88" s="15">
        <v>0.74375000000000002</v>
      </c>
      <c r="M88" s="13" t="s">
        <v>6</v>
      </c>
      <c r="N88" s="13">
        <v>10.4</v>
      </c>
      <c r="O88" s="13">
        <v>810</v>
      </c>
      <c r="Q88" s="18">
        <v>43944</v>
      </c>
      <c r="R88" s="19">
        <v>0.32847222222222222</v>
      </c>
      <c r="S88" s="17" t="s">
        <v>20</v>
      </c>
      <c r="T88" s="17">
        <v>0.01</v>
      </c>
      <c r="U88" s="17">
        <v>25</v>
      </c>
    </row>
    <row r="89" spans="5:21" x14ac:dyDescent="0.25">
      <c r="E89" s="10">
        <v>43841</v>
      </c>
      <c r="F89" s="11">
        <v>0.11458333333333333</v>
      </c>
      <c r="G89" t="s">
        <v>29</v>
      </c>
      <c r="H89">
        <v>4.45</v>
      </c>
      <c r="I89">
        <v>650</v>
      </c>
      <c r="K89" s="14">
        <v>43943</v>
      </c>
      <c r="L89" s="15">
        <v>0.76944444444444438</v>
      </c>
      <c r="M89" s="13" t="s">
        <v>6</v>
      </c>
      <c r="N89" s="13">
        <v>36.42</v>
      </c>
      <c r="O89" s="13">
        <v>600</v>
      </c>
      <c r="Q89" s="18">
        <v>43934</v>
      </c>
      <c r="R89" s="19">
        <v>0.34722222222222227</v>
      </c>
      <c r="S89" s="17" t="s">
        <v>14</v>
      </c>
      <c r="T89" s="17">
        <v>0.27</v>
      </c>
      <c r="U89" s="17">
        <v>75</v>
      </c>
    </row>
    <row r="90" spans="5:21" x14ac:dyDescent="0.25">
      <c r="E90" s="10">
        <v>43841</v>
      </c>
      <c r="F90" s="11">
        <v>0.14166666666666666</v>
      </c>
      <c r="G90" t="s">
        <v>29</v>
      </c>
      <c r="H90">
        <v>0.81</v>
      </c>
      <c r="I90">
        <v>150</v>
      </c>
      <c r="K90" s="14">
        <v>43943</v>
      </c>
      <c r="L90" s="15">
        <v>0.69097222222222221</v>
      </c>
      <c r="M90" s="13" t="s">
        <v>6</v>
      </c>
      <c r="N90" s="13">
        <v>28.51</v>
      </c>
      <c r="O90" s="13">
        <v>1100</v>
      </c>
      <c r="Q90" s="18">
        <v>44016</v>
      </c>
      <c r="R90" s="19">
        <v>0.77430555555555547</v>
      </c>
      <c r="S90" s="17" t="s">
        <v>16</v>
      </c>
      <c r="T90" s="17">
        <v>2.66</v>
      </c>
      <c r="U90" s="17">
        <v>150</v>
      </c>
    </row>
    <row r="91" spans="5:21" x14ac:dyDescent="0.25">
      <c r="E91" s="10">
        <v>43841</v>
      </c>
      <c r="F91" s="11">
        <v>4.027777777777778E-2</v>
      </c>
      <c r="G91" t="s">
        <v>29</v>
      </c>
      <c r="H91">
        <v>0.43</v>
      </c>
      <c r="I91">
        <v>130</v>
      </c>
      <c r="K91" s="14">
        <v>43943</v>
      </c>
      <c r="L91" s="15">
        <v>0.73263888888888884</v>
      </c>
      <c r="M91" s="13" t="s">
        <v>6</v>
      </c>
      <c r="N91" s="13">
        <v>4.45</v>
      </c>
      <c r="O91" s="13">
        <v>510</v>
      </c>
      <c r="Q91" s="18">
        <v>43986</v>
      </c>
      <c r="R91" s="19">
        <v>0.6972222222222223</v>
      </c>
      <c r="S91" s="17" t="s">
        <v>21</v>
      </c>
      <c r="T91" s="17">
        <v>1.91</v>
      </c>
      <c r="U91" s="17">
        <v>60</v>
      </c>
    </row>
    <row r="92" spans="5:21" x14ac:dyDescent="0.25">
      <c r="E92" s="10">
        <v>43841</v>
      </c>
      <c r="F92" s="11">
        <v>0.15</v>
      </c>
      <c r="G92" t="s">
        <v>29</v>
      </c>
      <c r="H92">
        <v>0.17</v>
      </c>
      <c r="I92">
        <v>15</v>
      </c>
      <c r="K92" s="14">
        <v>43945</v>
      </c>
      <c r="L92" s="15">
        <v>0.75555555555555554</v>
      </c>
      <c r="M92" s="13" t="s">
        <v>6</v>
      </c>
      <c r="N92" s="13">
        <v>0.11</v>
      </c>
      <c r="O92" s="13">
        <v>50</v>
      </c>
      <c r="Q92" s="18">
        <v>43990</v>
      </c>
      <c r="R92" s="19">
        <v>0.7416666666666667</v>
      </c>
      <c r="S92" s="17" t="s">
        <v>28</v>
      </c>
      <c r="T92" s="17">
        <v>0.01</v>
      </c>
      <c r="U92" s="17">
        <v>10</v>
      </c>
    </row>
    <row r="93" spans="5:21" x14ac:dyDescent="0.25">
      <c r="E93" s="10">
        <v>43909</v>
      </c>
      <c r="F93" s="11">
        <v>0.74305555555555547</v>
      </c>
      <c r="G93" t="s">
        <v>29</v>
      </c>
      <c r="H93">
        <v>12.5</v>
      </c>
      <c r="I93">
        <v>500</v>
      </c>
      <c r="K93" s="14">
        <v>43945</v>
      </c>
      <c r="L93" s="15">
        <v>0.73611111111111116</v>
      </c>
      <c r="M93" s="13" t="s">
        <v>6</v>
      </c>
      <c r="N93" s="13">
        <v>7.94</v>
      </c>
      <c r="O93" s="13">
        <v>425</v>
      </c>
      <c r="Q93" s="18">
        <v>43950</v>
      </c>
      <c r="R93" s="19">
        <v>0.6791666666666667</v>
      </c>
      <c r="S93" s="17" t="s">
        <v>10</v>
      </c>
      <c r="T93" s="17">
        <v>0.57999999999999996</v>
      </c>
      <c r="U93" s="17">
        <v>30</v>
      </c>
    </row>
    <row r="94" spans="5:21" x14ac:dyDescent="0.25">
      <c r="E94" s="10">
        <v>43909</v>
      </c>
      <c r="F94" s="11">
        <v>0.87986111111111109</v>
      </c>
      <c r="G94" t="s">
        <v>29</v>
      </c>
      <c r="H94">
        <v>5.67</v>
      </c>
      <c r="I94">
        <v>400</v>
      </c>
      <c r="K94" s="14">
        <v>43945</v>
      </c>
      <c r="L94" s="15">
        <v>0.75902777777777775</v>
      </c>
      <c r="M94" s="13" t="s">
        <v>6</v>
      </c>
      <c r="N94" s="13">
        <v>0.05</v>
      </c>
      <c r="O94" s="13">
        <v>50</v>
      </c>
      <c r="Q94" s="18">
        <v>43990</v>
      </c>
      <c r="R94" s="19">
        <v>0.94027777777777777</v>
      </c>
      <c r="S94" s="17" t="s">
        <v>16</v>
      </c>
      <c r="T94" s="17">
        <v>0.01</v>
      </c>
      <c r="U94" s="17">
        <v>5</v>
      </c>
    </row>
    <row r="95" spans="5:21" x14ac:dyDescent="0.25">
      <c r="E95" s="10">
        <v>43909</v>
      </c>
      <c r="F95" s="11">
        <v>0.80763888888888891</v>
      </c>
      <c r="G95" t="s">
        <v>29</v>
      </c>
      <c r="H95">
        <v>2.79</v>
      </c>
      <c r="I95">
        <v>200</v>
      </c>
      <c r="K95" s="14">
        <v>43963</v>
      </c>
      <c r="L95" s="15">
        <v>0.41250000000000003</v>
      </c>
      <c r="M95" s="13" t="s">
        <v>6</v>
      </c>
      <c r="N95" s="13">
        <v>2.6</v>
      </c>
      <c r="O95" s="13">
        <v>20</v>
      </c>
      <c r="Q95" s="18">
        <v>43941</v>
      </c>
      <c r="R95" s="19">
        <v>0.31875000000000003</v>
      </c>
      <c r="S95" s="17" t="s">
        <v>19</v>
      </c>
      <c r="T95" s="17">
        <v>7.25</v>
      </c>
      <c r="U95" s="17">
        <v>35</v>
      </c>
    </row>
    <row r="96" spans="5:21" x14ac:dyDescent="0.25">
      <c r="E96" s="10">
        <v>43909</v>
      </c>
      <c r="F96" s="11">
        <v>0.77083333333333337</v>
      </c>
      <c r="G96" t="s">
        <v>29</v>
      </c>
      <c r="H96">
        <v>2.16</v>
      </c>
      <c r="I96">
        <v>600</v>
      </c>
      <c r="K96" s="14">
        <v>43963</v>
      </c>
      <c r="L96" s="15">
        <v>0.33958333333333335</v>
      </c>
      <c r="M96" s="13" t="s">
        <v>6</v>
      </c>
      <c r="N96" s="13">
        <v>0.73</v>
      </c>
      <c r="O96" s="13">
        <v>20</v>
      </c>
      <c r="Q96" s="18">
        <v>43944</v>
      </c>
      <c r="R96" s="19">
        <v>0.32083333333333336</v>
      </c>
      <c r="S96" s="17" t="s">
        <v>20</v>
      </c>
      <c r="T96" s="17">
        <v>0.37</v>
      </c>
      <c r="U96" s="17">
        <v>50</v>
      </c>
    </row>
    <row r="97" spans="5:21" x14ac:dyDescent="0.25">
      <c r="E97" s="10">
        <v>43909</v>
      </c>
      <c r="F97" s="11">
        <v>0.79791666666666661</v>
      </c>
      <c r="G97" t="s">
        <v>29</v>
      </c>
      <c r="H97">
        <v>0.81</v>
      </c>
      <c r="I97">
        <v>300</v>
      </c>
      <c r="K97" s="14">
        <v>43963</v>
      </c>
      <c r="L97" s="15">
        <v>0.43611111111111112</v>
      </c>
      <c r="M97" s="13" t="s">
        <v>6</v>
      </c>
      <c r="N97" s="13">
        <v>0.05</v>
      </c>
      <c r="O97" s="13">
        <v>20</v>
      </c>
      <c r="Q97" s="18">
        <v>43933</v>
      </c>
      <c r="R97" s="19">
        <v>0.44166666666666665</v>
      </c>
      <c r="S97" s="17" t="s">
        <v>26</v>
      </c>
      <c r="T97" s="17">
        <v>8.01</v>
      </c>
      <c r="U97" s="17">
        <v>300</v>
      </c>
    </row>
    <row r="98" spans="5:21" x14ac:dyDescent="0.25">
      <c r="E98" s="10">
        <v>43918</v>
      </c>
      <c r="F98" s="11">
        <v>0.66527777777777775</v>
      </c>
      <c r="G98" t="s">
        <v>29</v>
      </c>
      <c r="H98">
        <v>12.53</v>
      </c>
      <c r="I98">
        <v>600</v>
      </c>
      <c r="K98" s="14">
        <v>43964</v>
      </c>
      <c r="L98" s="15">
        <v>0.64583333333333337</v>
      </c>
      <c r="M98" s="13" t="s">
        <v>6</v>
      </c>
      <c r="N98" s="13">
        <v>0.82</v>
      </c>
      <c r="O98" s="13">
        <v>50</v>
      </c>
      <c r="Q98" s="18">
        <v>43918</v>
      </c>
      <c r="R98" s="19">
        <v>0.73611111111111116</v>
      </c>
      <c r="S98" s="17" t="s">
        <v>23</v>
      </c>
      <c r="T98" s="17">
        <v>3.6</v>
      </c>
      <c r="U98" s="17">
        <v>50</v>
      </c>
    </row>
    <row r="99" spans="5:21" x14ac:dyDescent="0.25">
      <c r="E99" s="10">
        <v>43918</v>
      </c>
      <c r="F99" s="11">
        <v>0.63750000000000007</v>
      </c>
      <c r="G99" t="s">
        <v>29</v>
      </c>
      <c r="H99">
        <v>5.33</v>
      </c>
      <c r="I99">
        <v>200</v>
      </c>
      <c r="K99" s="14">
        <v>43967</v>
      </c>
      <c r="L99" s="15">
        <v>0.53263888888888888</v>
      </c>
      <c r="M99" s="13" t="s">
        <v>6</v>
      </c>
      <c r="N99" s="13">
        <v>2.17</v>
      </c>
      <c r="O99" s="13">
        <v>250</v>
      </c>
      <c r="Q99" s="18">
        <v>43973</v>
      </c>
      <c r="R99" s="19">
        <v>0.71597222222222223</v>
      </c>
      <c r="S99" s="17" t="s">
        <v>6</v>
      </c>
      <c r="T99" s="17">
        <v>1.7</v>
      </c>
      <c r="U99" s="17">
        <v>150</v>
      </c>
    </row>
    <row r="100" spans="5:21" x14ac:dyDescent="0.25">
      <c r="E100" s="10">
        <v>43918</v>
      </c>
      <c r="F100" s="11">
        <v>0.68402777777777779</v>
      </c>
      <c r="G100" t="s">
        <v>29</v>
      </c>
      <c r="H100">
        <v>2.97</v>
      </c>
      <c r="I100">
        <v>100</v>
      </c>
      <c r="K100" s="14">
        <v>43967</v>
      </c>
      <c r="L100" s="15">
        <v>0.5229166666666667</v>
      </c>
      <c r="M100" s="13" t="s">
        <v>6</v>
      </c>
      <c r="N100" s="13">
        <v>0.64</v>
      </c>
      <c r="O100" s="13">
        <v>30</v>
      </c>
      <c r="Q100" s="18">
        <v>44046</v>
      </c>
      <c r="R100" s="19">
        <v>0.9291666666666667</v>
      </c>
      <c r="S100" s="17" t="s">
        <v>14</v>
      </c>
      <c r="T100" s="17">
        <v>0.19</v>
      </c>
      <c r="U100" s="17">
        <v>70</v>
      </c>
    </row>
    <row r="101" spans="5:21" x14ac:dyDescent="0.25">
      <c r="E101" s="10">
        <v>43929</v>
      </c>
      <c r="F101" s="11">
        <v>0.79513888888888884</v>
      </c>
      <c r="G101" t="s">
        <v>29</v>
      </c>
      <c r="H101">
        <v>9.33</v>
      </c>
      <c r="I101">
        <v>75</v>
      </c>
      <c r="K101" s="14">
        <v>43967</v>
      </c>
      <c r="L101" s="15">
        <v>0.67013888888888884</v>
      </c>
      <c r="M101" s="13" t="s">
        <v>6</v>
      </c>
      <c r="N101" s="13">
        <v>0.19</v>
      </c>
      <c r="O101" s="13">
        <v>30</v>
      </c>
      <c r="Q101" s="18">
        <v>43940</v>
      </c>
      <c r="R101" s="19">
        <v>0.92013888888888884</v>
      </c>
      <c r="S101" s="17" t="s">
        <v>20</v>
      </c>
      <c r="T101" s="17">
        <v>1.3</v>
      </c>
      <c r="U101" s="17">
        <v>75</v>
      </c>
    </row>
    <row r="102" spans="5:21" x14ac:dyDescent="0.25">
      <c r="E102" s="10">
        <v>43929</v>
      </c>
      <c r="F102" s="11">
        <v>0.78263888888888899</v>
      </c>
      <c r="G102" t="s">
        <v>29</v>
      </c>
      <c r="H102">
        <v>0.89</v>
      </c>
      <c r="I102">
        <v>30</v>
      </c>
      <c r="K102" s="14">
        <v>43967</v>
      </c>
      <c r="L102" s="15">
        <v>0.48333333333333334</v>
      </c>
      <c r="M102" s="13" t="s">
        <v>6</v>
      </c>
      <c r="N102" s="13">
        <v>1.03</v>
      </c>
      <c r="O102" s="13">
        <v>150</v>
      </c>
      <c r="Q102" s="18">
        <v>43841</v>
      </c>
      <c r="R102" s="19">
        <v>0.12986111111111112</v>
      </c>
      <c r="S102" s="17" t="s">
        <v>29</v>
      </c>
      <c r="T102" s="17">
        <v>20.51</v>
      </c>
      <c r="U102" s="17">
        <v>1000</v>
      </c>
    </row>
    <row r="103" spans="5:21" x14ac:dyDescent="0.25">
      <c r="E103" s="10">
        <v>43945</v>
      </c>
      <c r="F103" s="11">
        <v>0.83958333333333324</v>
      </c>
      <c r="G103" t="s">
        <v>29</v>
      </c>
      <c r="H103">
        <v>0.5</v>
      </c>
      <c r="I103">
        <v>75</v>
      </c>
      <c r="K103" s="14">
        <v>43967</v>
      </c>
      <c r="L103" s="15">
        <v>0.60902777777777783</v>
      </c>
      <c r="M103" s="13" t="s">
        <v>6</v>
      </c>
      <c r="N103" s="13">
        <v>2.63</v>
      </c>
      <c r="O103" s="13">
        <v>40</v>
      </c>
      <c r="Q103" s="18">
        <v>43972</v>
      </c>
      <c r="R103" s="19">
        <v>0.63541666666666663</v>
      </c>
      <c r="S103" s="17" t="s">
        <v>12</v>
      </c>
      <c r="T103" s="17">
        <v>0.56000000000000005</v>
      </c>
      <c r="U103" s="17">
        <v>50</v>
      </c>
    </row>
    <row r="104" spans="5:21" x14ac:dyDescent="0.25">
      <c r="E104" s="10">
        <v>43949</v>
      </c>
      <c r="F104" s="11">
        <v>0.89166666666666661</v>
      </c>
      <c r="G104" t="s">
        <v>29</v>
      </c>
      <c r="H104">
        <v>15.95</v>
      </c>
      <c r="I104">
        <v>350</v>
      </c>
      <c r="K104" s="14">
        <v>43967</v>
      </c>
      <c r="L104" s="15">
        <v>0.24166666666666667</v>
      </c>
      <c r="M104" s="13" t="s">
        <v>6</v>
      </c>
      <c r="N104" s="13">
        <v>4.47</v>
      </c>
      <c r="O104" s="13">
        <v>25</v>
      </c>
      <c r="Q104" s="18">
        <v>43955</v>
      </c>
      <c r="R104" s="19">
        <v>0.86805555555555547</v>
      </c>
      <c r="S104" s="17" t="s">
        <v>21</v>
      </c>
      <c r="T104" s="17">
        <v>1.05</v>
      </c>
      <c r="U104" s="17">
        <v>100</v>
      </c>
    </row>
    <row r="105" spans="5:21" x14ac:dyDescent="0.25">
      <c r="E105" s="10">
        <v>43967</v>
      </c>
      <c r="F105" s="11">
        <v>0.69374999999999998</v>
      </c>
      <c r="G105" t="s">
        <v>29</v>
      </c>
      <c r="H105">
        <v>2.63</v>
      </c>
      <c r="I105">
        <v>50</v>
      </c>
      <c r="K105" s="14">
        <v>43973</v>
      </c>
      <c r="L105" s="15">
        <v>0.76597222222222217</v>
      </c>
      <c r="M105" s="13" t="s">
        <v>6</v>
      </c>
      <c r="N105" s="13">
        <v>2.5</v>
      </c>
      <c r="O105" s="13">
        <v>100</v>
      </c>
      <c r="Q105" s="18">
        <v>44033</v>
      </c>
      <c r="R105" s="19">
        <v>0.8222222222222223</v>
      </c>
      <c r="S105" s="17" t="s">
        <v>32</v>
      </c>
      <c r="T105" s="17">
        <v>2.9</v>
      </c>
      <c r="U105" s="17">
        <v>150</v>
      </c>
    </row>
    <row r="106" spans="5:21" x14ac:dyDescent="0.25">
      <c r="E106" s="10">
        <v>43967</v>
      </c>
      <c r="F106" s="11">
        <v>0.56597222222222221</v>
      </c>
      <c r="G106" t="s">
        <v>29</v>
      </c>
      <c r="H106">
        <v>2.2400000000000002</v>
      </c>
      <c r="I106">
        <v>20</v>
      </c>
      <c r="K106" s="14">
        <v>43973</v>
      </c>
      <c r="L106" s="15">
        <v>0.71597222222222223</v>
      </c>
      <c r="M106" s="13" t="s">
        <v>6</v>
      </c>
      <c r="N106" s="13">
        <v>1.7</v>
      </c>
      <c r="O106" s="13">
        <v>150</v>
      </c>
      <c r="Q106" s="18">
        <v>43933</v>
      </c>
      <c r="R106" s="19">
        <v>0.8847222222222223</v>
      </c>
      <c r="S106" s="17" t="s">
        <v>20</v>
      </c>
      <c r="T106" s="17">
        <v>2.42</v>
      </c>
      <c r="U106" s="17">
        <v>350</v>
      </c>
    </row>
    <row r="107" spans="5:21" x14ac:dyDescent="0.25">
      <c r="E107" s="10">
        <v>43967</v>
      </c>
      <c r="F107" s="11">
        <v>0.6777777777777777</v>
      </c>
      <c r="G107" t="s">
        <v>29</v>
      </c>
      <c r="H107">
        <v>2.16</v>
      </c>
      <c r="I107">
        <v>30</v>
      </c>
      <c r="K107" s="14">
        <v>43973</v>
      </c>
      <c r="L107" s="15">
        <v>0.84027777777777779</v>
      </c>
      <c r="M107" s="13" t="s">
        <v>6</v>
      </c>
      <c r="N107" s="13">
        <v>1.35</v>
      </c>
      <c r="O107" s="13">
        <v>400</v>
      </c>
      <c r="Q107" s="18">
        <v>43934</v>
      </c>
      <c r="R107" s="19">
        <v>6.805555555555555E-2</v>
      </c>
      <c r="S107" s="17" t="s">
        <v>9</v>
      </c>
      <c r="T107" s="17">
        <v>6.4</v>
      </c>
      <c r="U107" s="17">
        <v>350</v>
      </c>
    </row>
    <row r="108" spans="5:21" x14ac:dyDescent="0.25">
      <c r="E108" s="10">
        <v>43967</v>
      </c>
      <c r="F108" s="11">
        <v>0.7055555555555556</v>
      </c>
      <c r="G108" t="s">
        <v>29</v>
      </c>
      <c r="H108">
        <v>1.89</v>
      </c>
      <c r="I108">
        <v>40</v>
      </c>
      <c r="K108" s="14">
        <v>43973</v>
      </c>
      <c r="L108" s="15">
        <v>0.71319444444444446</v>
      </c>
      <c r="M108" s="13" t="s">
        <v>6</v>
      </c>
      <c r="N108" s="13">
        <v>0.1</v>
      </c>
      <c r="O108" s="13">
        <v>30</v>
      </c>
      <c r="Q108" s="18">
        <v>44053</v>
      </c>
      <c r="R108" s="19">
        <v>0.59375</v>
      </c>
      <c r="S108" s="17" t="s">
        <v>15</v>
      </c>
      <c r="T108" s="17">
        <v>14.45</v>
      </c>
      <c r="U108" s="17">
        <v>250</v>
      </c>
    </row>
    <row r="109" spans="5:21" x14ac:dyDescent="0.25">
      <c r="E109" s="10">
        <v>43967</v>
      </c>
      <c r="F109" s="11">
        <v>0.56597222222222221</v>
      </c>
      <c r="G109" t="s">
        <v>29</v>
      </c>
      <c r="H109">
        <v>0.99</v>
      </c>
      <c r="I109">
        <v>20</v>
      </c>
      <c r="K109" s="14">
        <v>43973</v>
      </c>
      <c r="L109" s="15">
        <v>0.72638888888888886</v>
      </c>
      <c r="M109" s="13" t="s">
        <v>6</v>
      </c>
      <c r="N109" s="13">
        <v>0.2</v>
      </c>
      <c r="O109" s="13">
        <v>50</v>
      </c>
      <c r="Q109" s="18">
        <v>44075</v>
      </c>
      <c r="R109" s="19">
        <v>0.54097222222222219</v>
      </c>
      <c r="S109" s="17" t="s">
        <v>29</v>
      </c>
      <c r="T109" s="17">
        <v>3.2</v>
      </c>
      <c r="U109" s="17">
        <v>100</v>
      </c>
    </row>
    <row r="110" spans="5:21" x14ac:dyDescent="0.25">
      <c r="E110" s="10">
        <v>43967</v>
      </c>
      <c r="F110" s="11">
        <v>0.7402777777777777</v>
      </c>
      <c r="G110" t="s">
        <v>29</v>
      </c>
      <c r="H110">
        <v>0.47</v>
      </c>
      <c r="I110">
        <v>20</v>
      </c>
      <c r="K110" s="14">
        <v>43973</v>
      </c>
      <c r="L110" s="15">
        <v>0.76874999999999993</v>
      </c>
      <c r="M110" s="13" t="s">
        <v>6</v>
      </c>
      <c r="N110" s="13">
        <v>2.2999999999999998</v>
      </c>
      <c r="O110" s="13">
        <v>50</v>
      </c>
      <c r="Q110" s="18">
        <v>43989</v>
      </c>
      <c r="R110" s="19">
        <v>0.76388888888888884</v>
      </c>
      <c r="S110" s="17" t="s">
        <v>31</v>
      </c>
      <c r="T110" s="17">
        <v>0.42</v>
      </c>
      <c r="U110" s="17">
        <v>30</v>
      </c>
    </row>
    <row r="111" spans="5:21" x14ac:dyDescent="0.25">
      <c r="E111" s="10">
        <v>43967</v>
      </c>
      <c r="F111" s="11">
        <v>0.69166666666666676</v>
      </c>
      <c r="G111" t="s">
        <v>29</v>
      </c>
      <c r="H111">
        <v>0.09</v>
      </c>
      <c r="I111">
        <v>20</v>
      </c>
      <c r="K111" s="14">
        <v>43974</v>
      </c>
      <c r="L111" s="15">
        <v>0.71805555555555556</v>
      </c>
      <c r="M111" s="13" t="s">
        <v>6</v>
      </c>
      <c r="N111" s="13">
        <v>0.38</v>
      </c>
      <c r="O111" s="13">
        <v>30</v>
      </c>
      <c r="Q111" s="18">
        <v>44057</v>
      </c>
      <c r="R111" s="19">
        <v>0.6645833333333333</v>
      </c>
      <c r="S111" s="17" t="s">
        <v>8</v>
      </c>
      <c r="T111" s="17">
        <v>1.08</v>
      </c>
      <c r="U111" s="17">
        <v>125</v>
      </c>
    </row>
    <row r="112" spans="5:21" x14ac:dyDescent="0.25">
      <c r="E112" s="10">
        <v>43976</v>
      </c>
      <c r="F112" s="11">
        <v>0.70694444444444438</v>
      </c>
      <c r="G112" t="s">
        <v>29</v>
      </c>
      <c r="H112">
        <v>1.3</v>
      </c>
      <c r="I112">
        <v>75</v>
      </c>
      <c r="K112" s="14">
        <v>43975</v>
      </c>
      <c r="L112" s="15">
        <v>0.7993055555555556</v>
      </c>
      <c r="M112" s="13" t="s">
        <v>6</v>
      </c>
      <c r="N112" s="13">
        <v>0.47</v>
      </c>
      <c r="O112" s="13">
        <v>50</v>
      </c>
      <c r="Q112" s="18">
        <v>44006</v>
      </c>
      <c r="R112" s="19">
        <v>0.52708333333333335</v>
      </c>
      <c r="S112" s="17" t="s">
        <v>20</v>
      </c>
      <c r="T112" s="17">
        <v>0.28000000000000003</v>
      </c>
      <c r="U112" s="17">
        <v>50</v>
      </c>
    </row>
    <row r="113" spans="5:21" x14ac:dyDescent="0.25">
      <c r="E113" s="10">
        <v>43976</v>
      </c>
      <c r="F113" s="11">
        <v>0.69305555555555554</v>
      </c>
      <c r="G113" t="s">
        <v>29</v>
      </c>
      <c r="H113">
        <v>0.3</v>
      </c>
      <c r="I113">
        <v>40</v>
      </c>
      <c r="K113" s="14">
        <v>43976</v>
      </c>
      <c r="L113" s="15">
        <v>0.67013888888888884</v>
      </c>
      <c r="M113" s="13" t="s">
        <v>6</v>
      </c>
      <c r="N113" s="13">
        <v>0.53</v>
      </c>
      <c r="O113" s="13">
        <v>100</v>
      </c>
      <c r="Q113" s="18">
        <v>44057</v>
      </c>
      <c r="R113" s="19">
        <v>0.7583333333333333</v>
      </c>
      <c r="S113" s="17" t="s">
        <v>8</v>
      </c>
      <c r="T113" s="17">
        <v>2</v>
      </c>
      <c r="U113" s="17">
        <v>100</v>
      </c>
    </row>
    <row r="114" spans="5:21" x14ac:dyDescent="0.25">
      <c r="E114" s="10">
        <v>44013</v>
      </c>
      <c r="F114" s="11">
        <v>0.49305555555555558</v>
      </c>
      <c r="G114" t="s">
        <v>29</v>
      </c>
      <c r="H114">
        <v>0.05</v>
      </c>
      <c r="I114">
        <v>25</v>
      </c>
      <c r="K114" s="14">
        <v>43978</v>
      </c>
      <c r="L114" s="15">
        <v>0.59930555555555554</v>
      </c>
      <c r="M114" s="13" t="s">
        <v>6</v>
      </c>
      <c r="N114" s="13">
        <v>1.45</v>
      </c>
      <c r="O114" s="13">
        <v>75</v>
      </c>
      <c r="Q114" s="18">
        <v>43840</v>
      </c>
      <c r="R114" s="19">
        <v>0.61736111111111114</v>
      </c>
      <c r="S114" s="17" t="s">
        <v>33</v>
      </c>
      <c r="T114" s="17">
        <v>5.8</v>
      </c>
      <c r="U114" s="17">
        <v>250</v>
      </c>
    </row>
    <row r="115" spans="5:21" x14ac:dyDescent="0.25">
      <c r="E115" s="10">
        <v>44070</v>
      </c>
      <c r="F115" s="11">
        <v>0.87986111111111109</v>
      </c>
      <c r="G115" t="s">
        <v>29</v>
      </c>
      <c r="H115">
        <v>14.02</v>
      </c>
      <c r="I115">
        <v>100</v>
      </c>
      <c r="K115" s="14">
        <v>43978</v>
      </c>
      <c r="L115" s="15">
        <v>0.65972222222222221</v>
      </c>
      <c r="M115" s="13" t="s">
        <v>6</v>
      </c>
      <c r="N115" s="13">
        <v>1.75</v>
      </c>
      <c r="O115" s="13">
        <v>50</v>
      </c>
      <c r="Q115" s="18">
        <v>44047</v>
      </c>
      <c r="R115" s="19">
        <v>0.8305555555555556</v>
      </c>
      <c r="S115" s="17" t="s">
        <v>7</v>
      </c>
      <c r="T115" s="17">
        <v>0.01</v>
      </c>
      <c r="U115" s="17">
        <v>50</v>
      </c>
    </row>
    <row r="116" spans="5:21" x14ac:dyDescent="0.25">
      <c r="E116" s="10">
        <v>44070</v>
      </c>
      <c r="F116" s="11">
        <v>0.84236111111111101</v>
      </c>
      <c r="G116" t="s">
        <v>29</v>
      </c>
      <c r="H116">
        <v>4.47</v>
      </c>
      <c r="I116">
        <v>120</v>
      </c>
      <c r="K116" s="14">
        <v>43978</v>
      </c>
      <c r="L116" s="15">
        <v>0.59791666666666665</v>
      </c>
      <c r="M116" s="13" t="s">
        <v>6</v>
      </c>
      <c r="N116" s="13">
        <v>0.8</v>
      </c>
      <c r="O116" s="13">
        <v>50</v>
      </c>
      <c r="Q116" s="18">
        <v>43969</v>
      </c>
      <c r="R116" s="19">
        <v>0.61736111111111114</v>
      </c>
      <c r="S116" s="17" t="s">
        <v>27</v>
      </c>
      <c r="T116" s="17">
        <v>1.92</v>
      </c>
      <c r="U116" s="17">
        <v>75</v>
      </c>
    </row>
    <row r="117" spans="5:21" x14ac:dyDescent="0.25">
      <c r="E117" s="10">
        <v>44070</v>
      </c>
      <c r="F117" s="11">
        <v>0.81319444444444444</v>
      </c>
      <c r="G117" t="s">
        <v>29</v>
      </c>
      <c r="H117">
        <v>3.56</v>
      </c>
      <c r="I117">
        <v>70</v>
      </c>
      <c r="K117" s="14">
        <v>44001</v>
      </c>
      <c r="L117" s="15">
        <v>0.69444444444444453</v>
      </c>
      <c r="M117" s="13" t="s">
        <v>6</v>
      </c>
      <c r="N117" s="13">
        <v>0.71</v>
      </c>
      <c r="O117" s="13">
        <v>50</v>
      </c>
      <c r="Q117" s="18">
        <v>44114</v>
      </c>
      <c r="R117" s="19">
        <v>0.1673611111111111</v>
      </c>
      <c r="S117" s="17" t="s">
        <v>20</v>
      </c>
      <c r="T117" s="17">
        <v>0.08</v>
      </c>
      <c r="U117" s="17">
        <v>25</v>
      </c>
    </row>
    <row r="118" spans="5:21" x14ac:dyDescent="0.25">
      <c r="E118" s="10">
        <v>44070</v>
      </c>
      <c r="F118" s="11">
        <v>0.75902777777777775</v>
      </c>
      <c r="G118" t="s">
        <v>29</v>
      </c>
      <c r="H118">
        <v>2.15</v>
      </c>
      <c r="I118">
        <v>80</v>
      </c>
      <c r="K118" s="14">
        <v>44001</v>
      </c>
      <c r="L118" s="15">
        <v>0.6958333333333333</v>
      </c>
      <c r="M118" s="13" t="s">
        <v>6</v>
      </c>
      <c r="N118" s="13">
        <v>0.43</v>
      </c>
      <c r="O118" s="13">
        <v>50</v>
      </c>
      <c r="Q118" s="18">
        <v>43840</v>
      </c>
      <c r="R118" s="19">
        <v>0.76527777777777783</v>
      </c>
      <c r="S118" s="17" t="s">
        <v>6</v>
      </c>
      <c r="T118" s="17">
        <v>0.14000000000000001</v>
      </c>
      <c r="U118" s="17">
        <v>100</v>
      </c>
    </row>
    <row r="119" spans="5:21" x14ac:dyDescent="0.25">
      <c r="E119" s="10">
        <v>44070</v>
      </c>
      <c r="F119" s="11">
        <v>0.7284722222222223</v>
      </c>
      <c r="G119" t="s">
        <v>29</v>
      </c>
      <c r="H119">
        <v>2.15</v>
      </c>
      <c r="I119">
        <v>60</v>
      </c>
      <c r="K119" s="14">
        <v>44004</v>
      </c>
      <c r="L119" s="15">
        <v>0.8125</v>
      </c>
      <c r="M119" s="13" t="s">
        <v>6</v>
      </c>
      <c r="N119" s="13">
        <v>1.29</v>
      </c>
      <c r="O119" s="13">
        <v>25</v>
      </c>
      <c r="Q119" s="18">
        <v>44053</v>
      </c>
      <c r="R119" s="19">
        <v>0.73819444444444438</v>
      </c>
      <c r="S119" s="17" t="s">
        <v>22</v>
      </c>
      <c r="T119" s="17">
        <v>0.23</v>
      </c>
      <c r="U119" s="17">
        <v>50</v>
      </c>
    </row>
    <row r="120" spans="5:21" x14ac:dyDescent="0.25">
      <c r="E120" s="10">
        <v>44070</v>
      </c>
      <c r="F120" s="11">
        <v>0.73958333333333337</v>
      </c>
      <c r="G120" t="s">
        <v>29</v>
      </c>
      <c r="H120">
        <v>1.26</v>
      </c>
      <c r="I120">
        <v>50</v>
      </c>
      <c r="K120" s="14">
        <v>44023</v>
      </c>
      <c r="L120" s="15">
        <v>0.7909722222222223</v>
      </c>
      <c r="M120" s="13" t="s">
        <v>6</v>
      </c>
      <c r="N120" s="13">
        <v>0.14000000000000001</v>
      </c>
      <c r="O120" s="13">
        <v>45</v>
      </c>
      <c r="Q120" s="18">
        <v>43866</v>
      </c>
      <c r="R120" s="19">
        <v>0.78263888888888899</v>
      </c>
      <c r="S120" s="17" t="s">
        <v>21</v>
      </c>
      <c r="T120" s="17">
        <v>10.36</v>
      </c>
      <c r="U120" s="17">
        <v>50</v>
      </c>
    </row>
    <row r="121" spans="5:21" x14ac:dyDescent="0.25">
      <c r="E121" s="10">
        <v>44070</v>
      </c>
      <c r="F121" s="11">
        <v>0.85</v>
      </c>
      <c r="G121" t="s">
        <v>29</v>
      </c>
      <c r="H121">
        <v>0.89</v>
      </c>
      <c r="I121">
        <v>50</v>
      </c>
      <c r="K121" s="14">
        <v>44026</v>
      </c>
      <c r="L121" s="15">
        <v>0.79305555555555562</v>
      </c>
      <c r="M121" s="13" t="s">
        <v>6</v>
      </c>
      <c r="N121" s="13">
        <v>1.34</v>
      </c>
      <c r="O121" s="13">
        <v>50</v>
      </c>
      <c r="Q121" s="18">
        <v>43949</v>
      </c>
      <c r="R121" s="19">
        <v>0.74722222222222223</v>
      </c>
      <c r="S121" s="17" t="s">
        <v>15</v>
      </c>
      <c r="T121" s="17">
        <v>2.1</v>
      </c>
      <c r="U121" s="17">
        <v>100</v>
      </c>
    </row>
    <row r="122" spans="5:21" x14ac:dyDescent="0.25">
      <c r="E122" s="10">
        <v>44070</v>
      </c>
      <c r="F122" s="11">
        <v>0.82986111111111116</v>
      </c>
      <c r="G122" t="s">
        <v>29</v>
      </c>
      <c r="H122">
        <v>0.89</v>
      </c>
      <c r="I122">
        <v>60</v>
      </c>
      <c r="K122" s="14">
        <v>44034</v>
      </c>
      <c r="L122" s="15">
        <v>0.5708333333333333</v>
      </c>
      <c r="M122" s="13" t="s">
        <v>6</v>
      </c>
      <c r="N122" s="13">
        <v>0.01</v>
      </c>
      <c r="O122" s="13">
        <v>10</v>
      </c>
      <c r="Q122" s="18">
        <v>43866</v>
      </c>
      <c r="R122" s="19">
        <v>0.80763888888888891</v>
      </c>
      <c r="S122" s="17" t="s">
        <v>21</v>
      </c>
      <c r="T122" s="17">
        <v>6.34</v>
      </c>
      <c r="U122" s="17">
        <v>50</v>
      </c>
    </row>
    <row r="123" spans="5:21" x14ac:dyDescent="0.25">
      <c r="E123" s="10">
        <v>44075</v>
      </c>
      <c r="F123" s="11">
        <v>0.58819444444444446</v>
      </c>
      <c r="G123" t="s">
        <v>29</v>
      </c>
      <c r="H123">
        <v>5.3</v>
      </c>
      <c r="I123">
        <v>150</v>
      </c>
      <c r="K123" s="14">
        <v>44037</v>
      </c>
      <c r="L123" s="15">
        <v>0.4916666666666667</v>
      </c>
      <c r="M123" s="13" t="s">
        <v>6</v>
      </c>
      <c r="N123" s="13">
        <v>0.1</v>
      </c>
      <c r="O123" s="13">
        <v>25</v>
      </c>
      <c r="Q123" s="18">
        <v>43908</v>
      </c>
      <c r="R123" s="19">
        <v>0.8305555555555556</v>
      </c>
      <c r="S123" s="17" t="s">
        <v>6</v>
      </c>
      <c r="T123" s="17">
        <v>1.82</v>
      </c>
      <c r="U123" s="17">
        <v>55</v>
      </c>
    </row>
    <row r="124" spans="5:21" x14ac:dyDescent="0.25">
      <c r="E124" s="10">
        <v>44075</v>
      </c>
      <c r="F124" s="11">
        <v>0.54097222222222219</v>
      </c>
      <c r="G124" t="s">
        <v>29</v>
      </c>
      <c r="H124">
        <v>3.2</v>
      </c>
      <c r="I124">
        <v>100</v>
      </c>
      <c r="K124" s="14">
        <v>44037</v>
      </c>
      <c r="L124" s="15">
        <v>0.88263888888888886</v>
      </c>
      <c r="M124" s="13" t="s">
        <v>6</v>
      </c>
      <c r="N124" s="13">
        <v>2.52</v>
      </c>
      <c r="O124" s="13">
        <v>100</v>
      </c>
      <c r="Q124" s="18">
        <v>44031</v>
      </c>
      <c r="R124" s="19">
        <v>0.77013888888888893</v>
      </c>
      <c r="S124" s="17" t="s">
        <v>7</v>
      </c>
      <c r="T124" s="17">
        <v>0.01</v>
      </c>
      <c r="U124" s="17">
        <v>50</v>
      </c>
    </row>
    <row r="125" spans="5:21" x14ac:dyDescent="0.25">
      <c r="E125" s="10">
        <v>44075</v>
      </c>
      <c r="F125" s="11">
        <v>0.55069444444444449</v>
      </c>
      <c r="G125" t="s">
        <v>29</v>
      </c>
      <c r="H125">
        <v>3.2</v>
      </c>
      <c r="I125">
        <v>50</v>
      </c>
      <c r="K125" s="14">
        <v>44037</v>
      </c>
      <c r="L125" s="15">
        <v>0.89583333333333337</v>
      </c>
      <c r="M125" s="13" t="s">
        <v>6</v>
      </c>
      <c r="N125" s="13">
        <v>0.6</v>
      </c>
      <c r="O125" s="13">
        <v>100</v>
      </c>
      <c r="Q125" s="18">
        <v>44027</v>
      </c>
      <c r="R125" s="19">
        <v>0.67013888888888884</v>
      </c>
      <c r="S125" s="17" t="s">
        <v>15</v>
      </c>
      <c r="T125" s="17">
        <v>0.56999999999999995</v>
      </c>
      <c r="U125" s="17">
        <v>50</v>
      </c>
    </row>
    <row r="126" spans="5:21" x14ac:dyDescent="0.25">
      <c r="E126" s="10">
        <v>44150</v>
      </c>
      <c r="F126" s="11">
        <v>5.2083333333333336E-2</v>
      </c>
      <c r="G126" t="s">
        <v>29</v>
      </c>
      <c r="H126">
        <v>2</v>
      </c>
      <c r="I126">
        <v>150</v>
      </c>
      <c r="K126" s="14">
        <v>44038</v>
      </c>
      <c r="L126" s="15">
        <v>0.10555555555555556</v>
      </c>
      <c r="M126" s="13" t="s">
        <v>6</v>
      </c>
      <c r="N126" s="13">
        <v>3.43</v>
      </c>
      <c r="O126" s="13">
        <v>50</v>
      </c>
      <c r="Q126" s="18">
        <v>43928</v>
      </c>
      <c r="R126" s="19">
        <v>0.91111111111111109</v>
      </c>
      <c r="S126" s="17" t="s">
        <v>27</v>
      </c>
      <c r="T126" s="17">
        <v>9.81</v>
      </c>
      <c r="U126" s="17">
        <v>100</v>
      </c>
    </row>
    <row r="127" spans="5:21" x14ac:dyDescent="0.25">
      <c r="E127" s="10">
        <v>44036</v>
      </c>
      <c r="F127" s="11">
        <v>0.49652777777777773</v>
      </c>
      <c r="G127" t="s">
        <v>30</v>
      </c>
      <c r="H127">
        <v>0.98</v>
      </c>
      <c r="I127">
        <v>50</v>
      </c>
      <c r="K127" s="14">
        <v>44038</v>
      </c>
      <c r="L127" s="15">
        <v>0.17361111111111113</v>
      </c>
      <c r="M127" s="13" t="s">
        <v>6</v>
      </c>
      <c r="N127" s="13">
        <v>3.27</v>
      </c>
      <c r="O127" s="13">
        <v>20</v>
      </c>
      <c r="Q127" s="18">
        <v>43841</v>
      </c>
      <c r="R127" s="19">
        <v>0.81944444444444453</v>
      </c>
      <c r="S127" s="17" t="s">
        <v>10</v>
      </c>
      <c r="T127" s="17">
        <v>2.44</v>
      </c>
      <c r="U127" s="17">
        <v>50</v>
      </c>
    </row>
    <row r="128" spans="5:21" x14ac:dyDescent="0.25">
      <c r="E128" s="10">
        <v>44036</v>
      </c>
      <c r="F128" s="11">
        <v>0.70833333333333337</v>
      </c>
      <c r="G128" t="s">
        <v>30</v>
      </c>
      <c r="H128">
        <v>0.36</v>
      </c>
      <c r="I128">
        <v>50</v>
      </c>
      <c r="K128" s="14">
        <v>44044</v>
      </c>
      <c r="L128" s="15">
        <v>0.65416666666666667</v>
      </c>
      <c r="M128" s="13" t="s">
        <v>6</v>
      </c>
      <c r="N128" s="13">
        <v>0.01</v>
      </c>
      <c r="O128" s="13">
        <v>20</v>
      </c>
      <c r="Q128" s="18">
        <v>44059</v>
      </c>
      <c r="R128" s="19">
        <v>0.6166666666666667</v>
      </c>
      <c r="S128" s="17" t="s">
        <v>19</v>
      </c>
      <c r="T128" s="17">
        <v>0.43</v>
      </c>
      <c r="U128" s="17">
        <v>15</v>
      </c>
    </row>
    <row r="129" spans="5:21" x14ac:dyDescent="0.25">
      <c r="E129" s="10">
        <v>43969</v>
      </c>
      <c r="F129" s="11">
        <v>0.55625000000000002</v>
      </c>
      <c r="G129" t="s">
        <v>25</v>
      </c>
      <c r="H129">
        <v>0.1</v>
      </c>
      <c r="I129">
        <v>20</v>
      </c>
      <c r="K129" s="14">
        <v>44059</v>
      </c>
      <c r="L129" s="15">
        <v>0.57361111111111118</v>
      </c>
      <c r="M129" s="13" t="s">
        <v>6</v>
      </c>
      <c r="N129" s="13">
        <v>1.83</v>
      </c>
      <c r="O129" s="13">
        <v>200</v>
      </c>
      <c r="Q129" s="18">
        <v>43934</v>
      </c>
      <c r="R129" s="19">
        <v>0.27291666666666664</v>
      </c>
      <c r="S129" s="17" t="s">
        <v>10</v>
      </c>
      <c r="T129" s="17">
        <v>0.3</v>
      </c>
      <c r="U129" s="17">
        <v>60</v>
      </c>
    </row>
    <row r="130" spans="5:21" x14ac:dyDescent="0.25">
      <c r="E130" s="10">
        <v>44057</v>
      </c>
      <c r="F130" s="11">
        <v>0.60416666666666663</v>
      </c>
      <c r="G130" t="s">
        <v>25</v>
      </c>
      <c r="H130">
        <v>0.43</v>
      </c>
      <c r="I130">
        <v>137</v>
      </c>
      <c r="K130" s="14">
        <v>44075</v>
      </c>
      <c r="L130" s="15">
        <v>0.75694444444444453</v>
      </c>
      <c r="M130" s="13" t="s">
        <v>6</v>
      </c>
      <c r="N130" s="13">
        <v>0.01</v>
      </c>
      <c r="O130" s="13">
        <v>30</v>
      </c>
      <c r="Q130" s="18">
        <v>43940</v>
      </c>
      <c r="R130" s="19">
        <v>0.91875000000000007</v>
      </c>
      <c r="S130" s="17" t="s">
        <v>20</v>
      </c>
      <c r="T130" s="17">
        <v>4.4000000000000004</v>
      </c>
      <c r="U130" s="17">
        <v>50</v>
      </c>
    </row>
    <row r="131" spans="5:21" x14ac:dyDescent="0.25">
      <c r="E131" s="10">
        <v>44058</v>
      </c>
      <c r="F131" s="11">
        <v>0.65347222222222223</v>
      </c>
      <c r="G131" t="s">
        <v>25</v>
      </c>
      <c r="H131">
        <v>3.16</v>
      </c>
      <c r="I131">
        <v>156</v>
      </c>
      <c r="K131" s="14">
        <v>44159</v>
      </c>
      <c r="L131" s="15">
        <v>0.86875000000000002</v>
      </c>
      <c r="M131" s="13" t="s">
        <v>6</v>
      </c>
      <c r="N131" s="13">
        <v>5.05</v>
      </c>
      <c r="O131" s="13">
        <v>150</v>
      </c>
      <c r="Q131" s="18">
        <v>44165</v>
      </c>
      <c r="R131" s="19">
        <v>0.61944444444444446</v>
      </c>
      <c r="S131" s="17" t="s">
        <v>34</v>
      </c>
      <c r="T131" s="17">
        <v>0.87</v>
      </c>
      <c r="U131" s="17">
        <v>100</v>
      </c>
    </row>
    <row r="132" spans="5:21" x14ac:dyDescent="0.25">
      <c r="E132" s="10">
        <v>44058</v>
      </c>
      <c r="F132" s="11">
        <v>0.62777777777777777</v>
      </c>
      <c r="G132" t="s">
        <v>25</v>
      </c>
      <c r="H132">
        <v>0.09</v>
      </c>
      <c r="I132">
        <v>20</v>
      </c>
      <c r="K132" s="14">
        <v>44160</v>
      </c>
      <c r="L132" s="15">
        <v>7.7083333333333337E-2</v>
      </c>
      <c r="M132" s="13" t="s">
        <v>6</v>
      </c>
      <c r="N132" s="13">
        <v>0.36</v>
      </c>
      <c r="O132" s="13">
        <v>75</v>
      </c>
      <c r="Q132" s="18">
        <v>44027</v>
      </c>
      <c r="R132" s="19">
        <v>0.62777777777777777</v>
      </c>
      <c r="S132" s="17" t="s">
        <v>15</v>
      </c>
      <c r="T132" s="17">
        <v>0.21</v>
      </c>
      <c r="U132" s="17">
        <v>10</v>
      </c>
    </row>
    <row r="133" spans="5:21" x14ac:dyDescent="0.25">
      <c r="E133" s="10">
        <v>44079</v>
      </c>
      <c r="F133" s="11">
        <v>0.67847222222222225</v>
      </c>
      <c r="G133" t="s">
        <v>25</v>
      </c>
      <c r="H133">
        <v>12.02</v>
      </c>
      <c r="I133">
        <v>50</v>
      </c>
      <c r="K133" s="14">
        <v>44188</v>
      </c>
      <c r="L133" s="15">
        <v>0.7909722222222223</v>
      </c>
      <c r="M133" s="13" t="s">
        <v>6</v>
      </c>
      <c r="N133" s="13">
        <v>0.39</v>
      </c>
      <c r="O133" s="13">
        <v>45</v>
      </c>
      <c r="Q133" s="18">
        <v>44057</v>
      </c>
      <c r="R133" s="19">
        <v>0.60902777777777783</v>
      </c>
      <c r="S133" s="17" t="s">
        <v>8</v>
      </c>
      <c r="T133" s="17">
        <v>4</v>
      </c>
      <c r="U133" s="17">
        <v>50</v>
      </c>
    </row>
    <row r="134" spans="5:21" x14ac:dyDescent="0.25">
      <c r="E134" s="10">
        <v>44079</v>
      </c>
      <c r="F134" s="11">
        <v>0.77013888888888893</v>
      </c>
      <c r="G134" t="s">
        <v>25</v>
      </c>
      <c r="H134">
        <v>1.1200000000000001</v>
      </c>
      <c r="I134">
        <v>25</v>
      </c>
      <c r="K134" s="14">
        <v>44188</v>
      </c>
      <c r="L134" s="15">
        <v>0.66249999999999998</v>
      </c>
      <c r="M134" s="13" t="s">
        <v>6</v>
      </c>
      <c r="N134" s="13">
        <v>1.23</v>
      </c>
      <c r="O134" s="13">
        <v>20</v>
      </c>
      <c r="Q134" s="18">
        <v>44090</v>
      </c>
      <c r="R134" s="19">
        <v>0.28680555555555554</v>
      </c>
      <c r="S134" s="17" t="s">
        <v>19</v>
      </c>
      <c r="T134" s="17">
        <v>9.92</v>
      </c>
      <c r="U134" s="17">
        <v>50</v>
      </c>
    </row>
    <row r="135" spans="5:21" x14ac:dyDescent="0.25">
      <c r="E135" s="10">
        <v>44153</v>
      </c>
      <c r="F135" s="11">
        <v>0.72916666666666663</v>
      </c>
      <c r="G135" t="s">
        <v>25</v>
      </c>
      <c r="H135">
        <v>4.3899999999999997</v>
      </c>
      <c r="I135">
        <v>2</v>
      </c>
      <c r="K135" s="14">
        <v>44195</v>
      </c>
      <c r="L135" s="15">
        <v>0.44513888888888892</v>
      </c>
      <c r="M135" s="13" t="s">
        <v>6</v>
      </c>
      <c r="N135" s="13">
        <v>0.98</v>
      </c>
      <c r="O135" s="13">
        <v>75</v>
      </c>
      <c r="Q135" s="18">
        <v>43944</v>
      </c>
      <c r="R135" s="19">
        <v>1.3888888888888888E-2</v>
      </c>
      <c r="S135" s="17" t="s">
        <v>26</v>
      </c>
      <c r="T135" s="17">
        <v>1.1299999999999999</v>
      </c>
      <c r="U135" s="17">
        <v>100</v>
      </c>
    </row>
    <row r="136" spans="5:21" x14ac:dyDescent="0.25">
      <c r="E136" s="10">
        <v>44153</v>
      </c>
      <c r="F136" s="11">
        <v>0.66319444444444442</v>
      </c>
      <c r="G136" t="s">
        <v>25</v>
      </c>
      <c r="H136">
        <v>0.47</v>
      </c>
      <c r="I136">
        <v>3</v>
      </c>
      <c r="K136" s="14">
        <v>43841</v>
      </c>
      <c r="L136" s="15">
        <v>0.24861111111111112</v>
      </c>
      <c r="M136" s="13" t="s">
        <v>21</v>
      </c>
      <c r="N136" s="13">
        <v>0.08</v>
      </c>
      <c r="O136" s="13">
        <v>75</v>
      </c>
      <c r="Q136" s="18">
        <v>44057</v>
      </c>
      <c r="R136" s="19">
        <v>0.61249999999999993</v>
      </c>
      <c r="S136" s="17" t="s">
        <v>8</v>
      </c>
      <c r="T136" s="17">
        <v>13.4</v>
      </c>
      <c r="U136" s="17">
        <v>150</v>
      </c>
    </row>
    <row r="137" spans="5:21" x14ac:dyDescent="0.25">
      <c r="E137" s="10">
        <v>43970</v>
      </c>
      <c r="F137" s="11">
        <v>0.84375</v>
      </c>
      <c r="G137" t="s">
        <v>7</v>
      </c>
      <c r="H137">
        <v>1</v>
      </c>
      <c r="I137">
        <v>20</v>
      </c>
      <c r="K137" s="14">
        <v>43841</v>
      </c>
      <c r="L137" s="15">
        <v>0.23333333333333331</v>
      </c>
      <c r="M137" s="13" t="s">
        <v>21</v>
      </c>
      <c r="N137" s="13">
        <v>1.98</v>
      </c>
      <c r="O137" s="13">
        <v>90</v>
      </c>
      <c r="Q137" s="18">
        <v>43933</v>
      </c>
      <c r="R137" s="19">
        <v>0.84166666666666667</v>
      </c>
      <c r="S137" s="17" t="s">
        <v>20</v>
      </c>
      <c r="T137" s="17">
        <v>2.5</v>
      </c>
      <c r="U137" s="17">
        <v>350</v>
      </c>
    </row>
    <row r="138" spans="5:21" x14ac:dyDescent="0.25">
      <c r="E138" s="10">
        <v>43971</v>
      </c>
      <c r="F138" s="11">
        <v>0.78888888888888886</v>
      </c>
      <c r="G138" t="s">
        <v>7</v>
      </c>
      <c r="H138">
        <v>8</v>
      </c>
      <c r="I138">
        <v>50</v>
      </c>
      <c r="K138" s="14">
        <v>43841</v>
      </c>
      <c r="L138" s="15">
        <v>0.70486111111111116</v>
      </c>
      <c r="M138" s="13" t="s">
        <v>21</v>
      </c>
      <c r="N138" s="13">
        <v>3.3</v>
      </c>
      <c r="O138" s="13">
        <v>30</v>
      </c>
      <c r="Q138" s="18">
        <v>44188</v>
      </c>
      <c r="R138" s="19">
        <v>0.99375000000000002</v>
      </c>
      <c r="S138" s="17" t="s">
        <v>24</v>
      </c>
      <c r="T138" s="17">
        <v>1.9</v>
      </c>
      <c r="U138" s="17">
        <v>880</v>
      </c>
    </row>
    <row r="139" spans="5:21" x14ac:dyDescent="0.25">
      <c r="E139" s="10">
        <v>43971</v>
      </c>
      <c r="F139" s="11">
        <v>0.78194444444444444</v>
      </c>
      <c r="G139" t="s">
        <v>7</v>
      </c>
      <c r="H139">
        <v>4.8</v>
      </c>
      <c r="I139">
        <v>50</v>
      </c>
      <c r="K139" s="14">
        <v>43841</v>
      </c>
      <c r="L139" s="15">
        <v>0.19305555555555554</v>
      </c>
      <c r="M139" s="13" t="s">
        <v>21</v>
      </c>
      <c r="N139" s="13">
        <v>1.86</v>
      </c>
      <c r="O139" s="13">
        <v>150</v>
      </c>
      <c r="Q139" s="18">
        <v>44159</v>
      </c>
      <c r="R139" s="19">
        <v>0.86875000000000002</v>
      </c>
      <c r="S139" s="17" t="s">
        <v>6</v>
      </c>
      <c r="T139" s="17">
        <v>5.05</v>
      </c>
      <c r="U139" s="17">
        <v>150</v>
      </c>
    </row>
    <row r="140" spans="5:21" x14ac:dyDescent="0.25">
      <c r="E140" s="10">
        <v>43971</v>
      </c>
      <c r="F140" s="11">
        <v>0.78125</v>
      </c>
      <c r="G140" t="s">
        <v>7</v>
      </c>
      <c r="H140">
        <v>4</v>
      </c>
      <c r="I140">
        <v>50</v>
      </c>
      <c r="K140" s="14">
        <v>43866</v>
      </c>
      <c r="L140" s="15">
        <v>0.74722222222222223</v>
      </c>
      <c r="M140" s="13" t="s">
        <v>21</v>
      </c>
      <c r="N140" s="13">
        <v>10.51</v>
      </c>
      <c r="O140" s="13">
        <v>300</v>
      </c>
      <c r="Q140" s="18">
        <v>44003</v>
      </c>
      <c r="R140" s="19">
        <v>0.57638888888888895</v>
      </c>
      <c r="S140" s="17" t="s">
        <v>12</v>
      </c>
      <c r="T140" s="17">
        <v>5.82</v>
      </c>
      <c r="U140" s="17">
        <v>100</v>
      </c>
    </row>
    <row r="141" spans="5:21" x14ac:dyDescent="0.25">
      <c r="E141" s="10">
        <v>43971</v>
      </c>
      <c r="F141" s="11">
        <v>0.77847222222222223</v>
      </c>
      <c r="G141" t="s">
        <v>7</v>
      </c>
      <c r="H141">
        <v>1.4</v>
      </c>
      <c r="I141">
        <v>50</v>
      </c>
      <c r="K141" s="14">
        <v>43866</v>
      </c>
      <c r="L141" s="15">
        <v>0.78263888888888899</v>
      </c>
      <c r="M141" s="13" t="s">
        <v>21</v>
      </c>
      <c r="N141" s="13">
        <v>10.36</v>
      </c>
      <c r="O141" s="13">
        <v>50</v>
      </c>
      <c r="Q141" s="18">
        <v>44049</v>
      </c>
      <c r="R141" s="19">
        <v>0.58472222222222225</v>
      </c>
      <c r="S141" s="17" t="s">
        <v>35</v>
      </c>
      <c r="T141" s="17">
        <v>2.58</v>
      </c>
      <c r="U141" s="17">
        <v>100</v>
      </c>
    </row>
    <row r="142" spans="5:21" x14ac:dyDescent="0.25">
      <c r="E142" s="10">
        <v>43971</v>
      </c>
      <c r="F142" s="11">
        <v>0.80972222222222223</v>
      </c>
      <c r="G142" t="s">
        <v>7</v>
      </c>
      <c r="H142">
        <v>1.1499999999999999</v>
      </c>
      <c r="I142">
        <v>50</v>
      </c>
      <c r="K142" s="14">
        <v>43866</v>
      </c>
      <c r="L142" s="15">
        <v>0.80763888888888891</v>
      </c>
      <c r="M142" s="13" t="s">
        <v>21</v>
      </c>
      <c r="N142" s="13">
        <v>6.34</v>
      </c>
      <c r="O142" s="13">
        <v>50</v>
      </c>
      <c r="Q142" s="18">
        <v>43933</v>
      </c>
      <c r="R142" s="19">
        <v>0.6333333333333333</v>
      </c>
      <c r="S142" s="17" t="s">
        <v>24</v>
      </c>
      <c r="T142" s="17">
        <v>0</v>
      </c>
      <c r="U142" s="17">
        <v>0</v>
      </c>
    </row>
    <row r="143" spans="5:21" x14ac:dyDescent="0.25">
      <c r="E143" s="10">
        <v>43971</v>
      </c>
      <c r="F143" s="11">
        <v>0.77638888888888891</v>
      </c>
      <c r="G143" t="s">
        <v>7</v>
      </c>
      <c r="H143">
        <v>0.9</v>
      </c>
      <c r="I143">
        <v>50</v>
      </c>
      <c r="K143" s="14">
        <v>43866</v>
      </c>
      <c r="L143" s="15">
        <v>0.82986111111111116</v>
      </c>
      <c r="M143" s="13" t="s">
        <v>21</v>
      </c>
      <c r="N143" s="13">
        <v>3.86</v>
      </c>
      <c r="O143" s="13">
        <v>200</v>
      </c>
      <c r="Q143" s="18">
        <v>43976</v>
      </c>
      <c r="R143" s="19">
        <v>0.75763888888888886</v>
      </c>
      <c r="S143" s="17" t="s">
        <v>33</v>
      </c>
      <c r="T143" s="17">
        <v>0.6</v>
      </c>
      <c r="U143" s="17">
        <v>120</v>
      </c>
    </row>
    <row r="144" spans="5:21" x14ac:dyDescent="0.25">
      <c r="E144" s="10">
        <v>43972</v>
      </c>
      <c r="F144" s="11">
        <v>0.65763888888888888</v>
      </c>
      <c r="G144" t="s">
        <v>7</v>
      </c>
      <c r="H144">
        <v>2</v>
      </c>
      <c r="I144">
        <v>25</v>
      </c>
      <c r="K144" s="14">
        <v>43866</v>
      </c>
      <c r="L144" s="15">
        <v>0.74652777777777779</v>
      </c>
      <c r="M144" s="13" t="s">
        <v>21</v>
      </c>
      <c r="N144" s="13">
        <v>10.050000000000001</v>
      </c>
      <c r="O144" s="13">
        <v>300</v>
      </c>
      <c r="Q144" s="18">
        <v>43894</v>
      </c>
      <c r="R144" s="19">
        <v>0.19375000000000001</v>
      </c>
      <c r="S144" s="17" t="s">
        <v>24</v>
      </c>
      <c r="T144" s="17">
        <v>9.31</v>
      </c>
      <c r="U144" s="17">
        <v>400</v>
      </c>
    </row>
    <row r="145" spans="5:21" x14ac:dyDescent="0.25">
      <c r="E145" s="10">
        <v>43972</v>
      </c>
      <c r="F145" s="11">
        <v>0.67847222222222225</v>
      </c>
      <c r="G145" t="s">
        <v>7</v>
      </c>
      <c r="H145">
        <v>1</v>
      </c>
      <c r="I145">
        <v>25</v>
      </c>
      <c r="K145" s="14">
        <v>43866</v>
      </c>
      <c r="L145" s="15">
        <v>0.83472222222222225</v>
      </c>
      <c r="M145" s="13" t="s">
        <v>21</v>
      </c>
      <c r="N145" s="13">
        <v>6.39</v>
      </c>
      <c r="O145" s="13">
        <v>250</v>
      </c>
      <c r="Q145" s="18">
        <v>43893</v>
      </c>
      <c r="R145" s="19">
        <v>2.2222222222222223E-2</v>
      </c>
      <c r="S145" s="17" t="s">
        <v>21</v>
      </c>
      <c r="T145" s="17">
        <v>60.13</v>
      </c>
      <c r="U145" s="17">
        <v>1600</v>
      </c>
    </row>
    <row r="146" spans="5:21" x14ac:dyDescent="0.25">
      <c r="E146" s="10">
        <v>43984</v>
      </c>
      <c r="F146" s="11">
        <v>0.59305555555555556</v>
      </c>
      <c r="G146" t="s">
        <v>7</v>
      </c>
      <c r="H146">
        <v>1.1100000000000001</v>
      </c>
      <c r="I146">
        <v>30</v>
      </c>
      <c r="K146" s="14">
        <v>43873</v>
      </c>
      <c r="L146" s="15">
        <v>0.7270833333333333</v>
      </c>
      <c r="M146" s="13" t="s">
        <v>21</v>
      </c>
      <c r="N146" s="13">
        <v>1.89</v>
      </c>
      <c r="O146" s="13">
        <v>100</v>
      </c>
      <c r="Q146" s="18">
        <v>43909</v>
      </c>
      <c r="R146" s="19">
        <v>0.87986111111111109</v>
      </c>
      <c r="S146" s="17" t="s">
        <v>29</v>
      </c>
      <c r="T146" s="17">
        <v>5.67</v>
      </c>
      <c r="U146" s="17">
        <v>400</v>
      </c>
    </row>
    <row r="147" spans="5:21" x14ac:dyDescent="0.25">
      <c r="E147" s="10">
        <v>43984</v>
      </c>
      <c r="F147" s="11">
        <v>0.56041666666666667</v>
      </c>
      <c r="G147" t="s">
        <v>7</v>
      </c>
      <c r="H147">
        <v>1.0900000000000001</v>
      </c>
      <c r="I147">
        <v>30</v>
      </c>
      <c r="K147" s="14">
        <v>43892</v>
      </c>
      <c r="L147" s="15">
        <v>0.98749999999999993</v>
      </c>
      <c r="M147" s="13" t="s">
        <v>21</v>
      </c>
      <c r="N147" s="13">
        <v>4.8</v>
      </c>
      <c r="O147" s="13">
        <v>50</v>
      </c>
      <c r="Q147" s="18">
        <v>43943</v>
      </c>
      <c r="R147" s="19">
        <v>0.68472222222222223</v>
      </c>
      <c r="S147" s="17" t="s">
        <v>33</v>
      </c>
      <c r="T147" s="17">
        <v>5</v>
      </c>
      <c r="U147" s="17">
        <v>100</v>
      </c>
    </row>
    <row r="148" spans="5:21" x14ac:dyDescent="0.25">
      <c r="E148" s="10">
        <v>43984</v>
      </c>
      <c r="F148" s="11">
        <v>0.55069444444444449</v>
      </c>
      <c r="G148" t="s">
        <v>7</v>
      </c>
      <c r="H148">
        <v>0.54</v>
      </c>
      <c r="I148">
        <v>30</v>
      </c>
      <c r="K148" s="14">
        <v>43892</v>
      </c>
      <c r="L148" s="15">
        <v>0.96180555555555547</v>
      </c>
      <c r="M148" s="13" t="s">
        <v>21</v>
      </c>
      <c r="N148" s="13">
        <v>18.72</v>
      </c>
      <c r="O148" s="13">
        <v>250</v>
      </c>
      <c r="Q148" s="18">
        <v>43944</v>
      </c>
      <c r="R148" s="19">
        <v>0.22500000000000001</v>
      </c>
      <c r="S148" s="17" t="s">
        <v>24</v>
      </c>
      <c r="T148" s="17">
        <v>1.45</v>
      </c>
      <c r="U148" s="17">
        <v>250</v>
      </c>
    </row>
    <row r="149" spans="5:21" x14ac:dyDescent="0.25">
      <c r="E149" s="10">
        <v>43984</v>
      </c>
      <c r="F149" s="11">
        <v>0.57777777777777783</v>
      </c>
      <c r="G149" t="s">
        <v>7</v>
      </c>
      <c r="H149">
        <v>0.48</v>
      </c>
      <c r="I149">
        <v>30</v>
      </c>
      <c r="K149" s="14">
        <v>43892</v>
      </c>
      <c r="L149" s="15">
        <v>0.92499999999999993</v>
      </c>
      <c r="M149" s="13" t="s">
        <v>21</v>
      </c>
      <c r="N149" s="13">
        <v>7.27</v>
      </c>
      <c r="O149" s="13">
        <v>100</v>
      </c>
      <c r="Q149" s="18">
        <v>43934</v>
      </c>
      <c r="R149" s="19">
        <v>0.19375000000000001</v>
      </c>
      <c r="S149" s="17" t="s">
        <v>10</v>
      </c>
      <c r="T149" s="17">
        <v>1.44</v>
      </c>
      <c r="U149" s="17">
        <v>50</v>
      </c>
    </row>
    <row r="150" spans="5:21" x14ac:dyDescent="0.25">
      <c r="E150" s="10">
        <v>43984</v>
      </c>
      <c r="F150" s="11">
        <v>0.56319444444444444</v>
      </c>
      <c r="G150" t="s">
        <v>7</v>
      </c>
      <c r="H150">
        <v>7.0000000000000007E-2</v>
      </c>
      <c r="I150">
        <v>30</v>
      </c>
      <c r="K150" s="14">
        <v>43892</v>
      </c>
      <c r="L150" s="15">
        <v>0.94513888888888886</v>
      </c>
      <c r="M150" s="13" t="s">
        <v>21</v>
      </c>
      <c r="N150" s="13">
        <v>14.8</v>
      </c>
      <c r="O150" s="13">
        <v>100</v>
      </c>
      <c r="Q150" s="18">
        <v>44020</v>
      </c>
      <c r="R150" s="19">
        <v>0.74930555555555556</v>
      </c>
      <c r="S150" s="17" t="s">
        <v>7</v>
      </c>
      <c r="T150" s="17">
        <v>0.01</v>
      </c>
      <c r="U150" s="17">
        <v>50</v>
      </c>
    </row>
    <row r="151" spans="5:21" x14ac:dyDescent="0.25">
      <c r="E151" s="10">
        <v>44014</v>
      </c>
      <c r="F151" s="11">
        <v>0.6875</v>
      </c>
      <c r="G151" t="s">
        <v>7</v>
      </c>
      <c r="H151">
        <v>0.62</v>
      </c>
      <c r="I151">
        <v>30</v>
      </c>
      <c r="K151" s="14">
        <v>43893</v>
      </c>
      <c r="L151" s="15">
        <v>2.2222222222222223E-2</v>
      </c>
      <c r="M151" s="13" t="s">
        <v>21</v>
      </c>
      <c r="N151" s="13">
        <v>60.13</v>
      </c>
      <c r="O151" s="13">
        <v>1600</v>
      </c>
      <c r="Q151" s="18">
        <v>44115</v>
      </c>
      <c r="R151" s="19">
        <v>0.60486111111111118</v>
      </c>
      <c r="S151" s="17" t="s">
        <v>10</v>
      </c>
      <c r="T151" s="17">
        <v>2.27</v>
      </c>
      <c r="U151" s="17">
        <v>20</v>
      </c>
    </row>
    <row r="152" spans="5:21" x14ac:dyDescent="0.25">
      <c r="E152" s="10">
        <v>44014</v>
      </c>
      <c r="F152" s="11">
        <v>0.61111111111111105</v>
      </c>
      <c r="G152" t="s">
        <v>7</v>
      </c>
      <c r="H152">
        <v>0.49</v>
      </c>
      <c r="I152">
        <v>30</v>
      </c>
      <c r="K152" s="14">
        <v>43893</v>
      </c>
      <c r="L152" s="15">
        <v>7.4999999999999997E-2</v>
      </c>
      <c r="M152" s="13" t="s">
        <v>21</v>
      </c>
      <c r="N152" s="13">
        <v>8.39</v>
      </c>
      <c r="O152" s="13">
        <v>900</v>
      </c>
      <c r="Q152" s="18">
        <v>44041</v>
      </c>
      <c r="R152" s="19">
        <v>0.70347222222222217</v>
      </c>
      <c r="S152" s="17" t="s">
        <v>36</v>
      </c>
      <c r="T152" s="17">
        <v>4.2</v>
      </c>
      <c r="U152" s="17">
        <v>100</v>
      </c>
    </row>
    <row r="153" spans="5:21" x14ac:dyDescent="0.25">
      <c r="E153" s="10">
        <v>44014</v>
      </c>
      <c r="F153" s="11">
        <v>0.53194444444444444</v>
      </c>
      <c r="G153" t="s">
        <v>7</v>
      </c>
      <c r="H153">
        <v>0.01</v>
      </c>
      <c r="I153">
        <v>50</v>
      </c>
      <c r="K153" s="14">
        <v>43893</v>
      </c>
      <c r="L153" s="15">
        <v>0.10069444444444443</v>
      </c>
      <c r="M153" s="13" t="s">
        <v>21</v>
      </c>
      <c r="N153" s="13">
        <v>10.07</v>
      </c>
      <c r="O153" s="13">
        <v>500</v>
      </c>
      <c r="Q153" s="18">
        <v>43956</v>
      </c>
      <c r="R153" s="19">
        <v>0.68888888888888899</v>
      </c>
      <c r="S153" s="17" t="s">
        <v>10</v>
      </c>
      <c r="T153" s="17">
        <v>4.57</v>
      </c>
      <c r="U153" s="17">
        <v>100</v>
      </c>
    </row>
    <row r="154" spans="5:21" x14ac:dyDescent="0.25">
      <c r="E154" s="10">
        <v>44014</v>
      </c>
      <c r="F154" s="11">
        <v>0.57361111111111118</v>
      </c>
      <c r="G154" t="s">
        <v>7</v>
      </c>
      <c r="H154">
        <v>0.01</v>
      </c>
      <c r="I154">
        <v>50</v>
      </c>
      <c r="K154" s="14">
        <v>43893</v>
      </c>
      <c r="L154" s="15">
        <v>0.1111111111111111</v>
      </c>
      <c r="M154" s="13" t="s">
        <v>21</v>
      </c>
      <c r="N154" s="13">
        <v>3.68</v>
      </c>
      <c r="O154" s="13">
        <v>200</v>
      </c>
      <c r="Q154" s="18">
        <v>44010</v>
      </c>
      <c r="R154" s="19">
        <v>0.82916666666666661</v>
      </c>
      <c r="S154" s="17" t="s">
        <v>8</v>
      </c>
      <c r="T154" s="17">
        <v>0.61</v>
      </c>
      <c r="U154" s="17">
        <v>20</v>
      </c>
    </row>
    <row r="155" spans="5:21" x14ac:dyDescent="0.25">
      <c r="E155" s="10">
        <v>44014</v>
      </c>
      <c r="F155" s="11">
        <v>0.59652777777777777</v>
      </c>
      <c r="G155" t="s">
        <v>7</v>
      </c>
      <c r="H155">
        <v>0.01</v>
      </c>
      <c r="I155">
        <v>50</v>
      </c>
      <c r="K155" s="14">
        <v>43893</v>
      </c>
      <c r="L155" s="15">
        <v>8.6805555555555566E-2</v>
      </c>
      <c r="M155" s="13" t="s">
        <v>21</v>
      </c>
      <c r="N155" s="13">
        <v>0.23</v>
      </c>
      <c r="O155" s="13">
        <v>25</v>
      </c>
      <c r="Q155" s="18">
        <v>44020</v>
      </c>
      <c r="R155" s="19">
        <v>0.62777777777777777</v>
      </c>
      <c r="S155" s="17" t="s">
        <v>15</v>
      </c>
      <c r="T155" s="17">
        <v>0.31</v>
      </c>
      <c r="U155" s="17">
        <v>10</v>
      </c>
    </row>
    <row r="156" spans="5:21" x14ac:dyDescent="0.25">
      <c r="E156" s="10">
        <v>44014</v>
      </c>
      <c r="F156" s="11">
        <v>0.56180555555555556</v>
      </c>
      <c r="G156" t="s">
        <v>7</v>
      </c>
      <c r="H156">
        <v>0.01</v>
      </c>
      <c r="I156">
        <v>50</v>
      </c>
      <c r="K156" s="14">
        <v>43893</v>
      </c>
      <c r="L156" s="15">
        <v>6.805555555555555E-2</v>
      </c>
      <c r="M156" s="13" t="s">
        <v>21</v>
      </c>
      <c r="N156" s="13">
        <v>3.32</v>
      </c>
      <c r="O156" s="13">
        <v>50</v>
      </c>
      <c r="Q156" s="18">
        <v>43918</v>
      </c>
      <c r="R156" s="19">
        <v>0.72916666666666663</v>
      </c>
      <c r="S156" s="17" t="s">
        <v>23</v>
      </c>
      <c r="T156" s="17">
        <v>3.93</v>
      </c>
      <c r="U156" s="17">
        <v>140</v>
      </c>
    </row>
    <row r="157" spans="5:21" x14ac:dyDescent="0.25">
      <c r="E157" s="10">
        <v>44014</v>
      </c>
      <c r="F157" s="11">
        <v>0.6</v>
      </c>
      <c r="G157" t="s">
        <v>7</v>
      </c>
      <c r="H157">
        <v>0.01</v>
      </c>
      <c r="I157">
        <v>50</v>
      </c>
      <c r="K157" s="14">
        <v>43914</v>
      </c>
      <c r="L157" s="15">
        <v>0.76111111111111107</v>
      </c>
      <c r="M157" s="13" t="s">
        <v>21</v>
      </c>
      <c r="N157" s="13">
        <v>4.76</v>
      </c>
      <c r="O157" s="13">
        <v>175</v>
      </c>
      <c r="Q157" s="18">
        <v>43944</v>
      </c>
      <c r="R157" s="19">
        <v>0.13472222222222222</v>
      </c>
      <c r="S157" s="17" t="s">
        <v>24</v>
      </c>
      <c r="T157" s="17">
        <v>16.850000000000001</v>
      </c>
      <c r="U157" s="17">
        <v>2640</v>
      </c>
    </row>
    <row r="158" spans="5:21" x14ac:dyDescent="0.25">
      <c r="E158" s="10">
        <v>44020</v>
      </c>
      <c r="F158" s="11">
        <v>0.74930555555555556</v>
      </c>
      <c r="G158" t="s">
        <v>7</v>
      </c>
      <c r="H158">
        <v>0.01</v>
      </c>
      <c r="I158">
        <v>50</v>
      </c>
      <c r="K158" s="14">
        <v>43919</v>
      </c>
      <c r="L158" s="15">
        <v>6.1805555555555558E-2</v>
      </c>
      <c r="M158" s="13" t="s">
        <v>21</v>
      </c>
      <c r="N158" s="13">
        <v>6.9</v>
      </c>
      <c r="O158" s="13">
        <v>75</v>
      </c>
      <c r="Q158" s="18">
        <v>44037</v>
      </c>
      <c r="R158" s="19">
        <v>0.4916666666666667</v>
      </c>
      <c r="S158" s="17" t="s">
        <v>6</v>
      </c>
      <c r="T158" s="17">
        <v>0.1</v>
      </c>
      <c r="U158" s="17">
        <v>25</v>
      </c>
    </row>
    <row r="159" spans="5:21" x14ac:dyDescent="0.25">
      <c r="E159" s="10">
        <v>44020</v>
      </c>
      <c r="F159" s="11">
        <v>0.75694444444444453</v>
      </c>
      <c r="G159" t="s">
        <v>7</v>
      </c>
      <c r="H159">
        <v>0.01</v>
      </c>
      <c r="I159">
        <v>50</v>
      </c>
      <c r="K159" s="14">
        <v>43933</v>
      </c>
      <c r="L159" s="15">
        <v>0.8881944444444444</v>
      </c>
      <c r="M159" s="13" t="s">
        <v>21</v>
      </c>
      <c r="N159" s="13">
        <v>14.41</v>
      </c>
      <c r="O159" s="13">
        <v>1500</v>
      </c>
      <c r="Q159" s="18">
        <v>43984</v>
      </c>
      <c r="R159" s="19">
        <v>0.62638888888888888</v>
      </c>
      <c r="S159" s="17" t="s">
        <v>12</v>
      </c>
      <c r="T159" s="17">
        <v>0.56999999999999995</v>
      </c>
      <c r="U159" s="17">
        <v>30</v>
      </c>
    </row>
    <row r="160" spans="5:21" x14ac:dyDescent="0.25">
      <c r="E160" s="10">
        <v>44020</v>
      </c>
      <c r="F160" s="11">
        <v>0.75277777777777777</v>
      </c>
      <c r="G160" t="s">
        <v>7</v>
      </c>
      <c r="H160">
        <v>0.01</v>
      </c>
      <c r="I160">
        <v>50</v>
      </c>
      <c r="K160" s="14">
        <v>43933</v>
      </c>
      <c r="L160" s="15">
        <v>0.91319444444444453</v>
      </c>
      <c r="M160" s="13" t="s">
        <v>21</v>
      </c>
      <c r="N160" s="13">
        <v>4.7300000000000004</v>
      </c>
      <c r="O160" s="13">
        <v>500</v>
      </c>
      <c r="Q160" s="18">
        <v>44047</v>
      </c>
      <c r="R160" s="19">
        <v>0.24652777777777779</v>
      </c>
      <c r="S160" s="17" t="s">
        <v>18</v>
      </c>
      <c r="T160" s="17">
        <v>9.6300000000000008</v>
      </c>
      <c r="U160" s="17">
        <v>75</v>
      </c>
    </row>
    <row r="161" spans="5:21" x14ac:dyDescent="0.25">
      <c r="E161" s="10">
        <v>44020</v>
      </c>
      <c r="F161" s="11">
        <v>0.75277777777777777</v>
      </c>
      <c r="G161" t="s">
        <v>7</v>
      </c>
      <c r="H161">
        <v>0.01</v>
      </c>
      <c r="I161">
        <v>50</v>
      </c>
      <c r="K161" s="14">
        <v>43933</v>
      </c>
      <c r="L161" s="15">
        <v>0.90972222222222221</v>
      </c>
      <c r="M161" s="13" t="s">
        <v>21</v>
      </c>
      <c r="N161" s="13">
        <v>5.09</v>
      </c>
      <c r="O161" s="13">
        <v>500</v>
      </c>
      <c r="Q161" s="18">
        <v>43944</v>
      </c>
      <c r="R161" s="19">
        <v>3.5416666666666666E-2</v>
      </c>
      <c r="S161" s="17" t="s">
        <v>26</v>
      </c>
      <c r="T161" s="17">
        <v>9.5299999999999994</v>
      </c>
      <c r="U161" s="17">
        <v>150</v>
      </c>
    </row>
    <row r="162" spans="5:21" x14ac:dyDescent="0.25">
      <c r="E162" s="10">
        <v>44020</v>
      </c>
      <c r="F162" s="11">
        <v>0.74236111111111114</v>
      </c>
      <c r="G162" t="s">
        <v>7</v>
      </c>
      <c r="H162">
        <v>0.01</v>
      </c>
      <c r="I162">
        <v>50</v>
      </c>
      <c r="K162" s="14">
        <v>43933</v>
      </c>
      <c r="L162" s="15">
        <v>0.90625</v>
      </c>
      <c r="M162" s="13" t="s">
        <v>21</v>
      </c>
      <c r="N162" s="13">
        <v>3.04</v>
      </c>
      <c r="O162" s="13">
        <v>500</v>
      </c>
      <c r="Q162" s="18">
        <v>43967</v>
      </c>
      <c r="R162" s="19">
        <v>0.5229166666666667</v>
      </c>
      <c r="S162" s="17" t="s">
        <v>6</v>
      </c>
      <c r="T162" s="17">
        <v>0.64</v>
      </c>
      <c r="U162" s="17">
        <v>30</v>
      </c>
    </row>
    <row r="163" spans="5:21" x14ac:dyDescent="0.25">
      <c r="E163" s="10">
        <v>44020</v>
      </c>
      <c r="F163" s="11">
        <v>0.7631944444444444</v>
      </c>
      <c r="G163" t="s">
        <v>7</v>
      </c>
      <c r="H163">
        <v>0.01</v>
      </c>
      <c r="I163">
        <v>50</v>
      </c>
      <c r="K163" s="14">
        <v>43946</v>
      </c>
      <c r="L163" s="15">
        <v>0.65625</v>
      </c>
      <c r="M163" s="13" t="s">
        <v>21</v>
      </c>
      <c r="N163" s="13">
        <v>3.81</v>
      </c>
      <c r="O163" s="13">
        <v>100</v>
      </c>
      <c r="Q163" s="18">
        <v>43943</v>
      </c>
      <c r="R163" s="19">
        <v>0.65625</v>
      </c>
      <c r="S163" s="17" t="s">
        <v>33</v>
      </c>
      <c r="T163" s="17">
        <v>0.2</v>
      </c>
      <c r="U163" s="17">
        <v>50</v>
      </c>
    </row>
    <row r="164" spans="5:21" x14ac:dyDescent="0.25">
      <c r="E164" s="10">
        <v>44024</v>
      </c>
      <c r="F164" s="11">
        <v>0.74305555555555547</v>
      </c>
      <c r="G164" t="s">
        <v>7</v>
      </c>
      <c r="H164">
        <v>1.52</v>
      </c>
      <c r="I164">
        <v>75</v>
      </c>
      <c r="K164" s="14">
        <v>43955</v>
      </c>
      <c r="L164" s="15">
        <v>0.86805555555555547</v>
      </c>
      <c r="M164" s="13" t="s">
        <v>21</v>
      </c>
      <c r="N164" s="13">
        <v>1.05</v>
      </c>
      <c r="O164" s="13">
        <v>100</v>
      </c>
      <c r="Q164" s="18">
        <v>43940</v>
      </c>
      <c r="R164" s="19">
        <v>0.93888888888888899</v>
      </c>
      <c r="S164" s="17" t="s">
        <v>20</v>
      </c>
      <c r="T164" s="17">
        <v>1.82</v>
      </c>
      <c r="U164" s="17">
        <v>100</v>
      </c>
    </row>
    <row r="165" spans="5:21" x14ac:dyDescent="0.25">
      <c r="E165" s="10">
        <v>44026</v>
      </c>
      <c r="F165" s="11">
        <v>0.79166666666666663</v>
      </c>
      <c r="G165" t="s">
        <v>7</v>
      </c>
      <c r="H165">
        <v>2.33</v>
      </c>
      <c r="I165">
        <v>50</v>
      </c>
      <c r="K165" s="14">
        <v>43986</v>
      </c>
      <c r="L165" s="15">
        <v>0.6972222222222223</v>
      </c>
      <c r="M165" s="13" t="s">
        <v>21</v>
      </c>
      <c r="N165" s="13">
        <v>1.91</v>
      </c>
      <c r="O165" s="13">
        <v>60</v>
      </c>
      <c r="Q165" s="18">
        <v>43921</v>
      </c>
      <c r="R165" s="19">
        <v>0.39097222222222222</v>
      </c>
      <c r="S165" s="17" t="s">
        <v>20</v>
      </c>
      <c r="T165" s="17">
        <v>3.33</v>
      </c>
      <c r="U165" s="17">
        <v>190</v>
      </c>
    </row>
    <row r="166" spans="5:21" x14ac:dyDescent="0.25">
      <c r="E166" s="10">
        <v>44031</v>
      </c>
      <c r="F166" s="11">
        <v>0.77013888888888893</v>
      </c>
      <c r="G166" t="s">
        <v>7</v>
      </c>
      <c r="H166">
        <v>0.01</v>
      </c>
      <c r="I166">
        <v>50</v>
      </c>
      <c r="K166" s="14">
        <v>43986</v>
      </c>
      <c r="L166" s="15">
        <v>0.74375000000000002</v>
      </c>
      <c r="M166" s="13" t="s">
        <v>21</v>
      </c>
      <c r="N166" s="13">
        <v>15.08</v>
      </c>
      <c r="O166" s="13">
        <v>90</v>
      </c>
      <c r="Q166" s="18">
        <v>43940</v>
      </c>
      <c r="R166" s="19">
        <v>0.94444444444444453</v>
      </c>
      <c r="S166" s="17" t="s">
        <v>20</v>
      </c>
      <c r="T166" s="17">
        <v>5.18</v>
      </c>
      <c r="U166" s="17">
        <v>300</v>
      </c>
    </row>
    <row r="167" spans="5:21" x14ac:dyDescent="0.25">
      <c r="E167" s="10">
        <v>44047</v>
      </c>
      <c r="F167" s="11">
        <v>0.8305555555555556</v>
      </c>
      <c r="G167" t="s">
        <v>7</v>
      </c>
      <c r="H167">
        <v>0.01</v>
      </c>
      <c r="I167">
        <v>50</v>
      </c>
      <c r="K167" s="14">
        <v>44071</v>
      </c>
      <c r="L167" s="15">
        <v>0.68611111111111101</v>
      </c>
      <c r="M167" s="13" t="s">
        <v>21</v>
      </c>
      <c r="N167" s="13">
        <v>1.53</v>
      </c>
      <c r="O167" s="13">
        <v>65</v>
      </c>
      <c r="Q167" s="18">
        <v>44006</v>
      </c>
      <c r="R167" s="19">
        <v>0.4861111111111111</v>
      </c>
      <c r="S167" s="17" t="s">
        <v>24</v>
      </c>
      <c r="T167" s="17">
        <v>0.39</v>
      </c>
      <c r="U167" s="17">
        <v>70</v>
      </c>
    </row>
    <row r="168" spans="5:21" x14ac:dyDescent="0.25">
      <c r="E168" s="10">
        <v>44058</v>
      </c>
      <c r="F168" s="11">
        <v>0.74097222222222225</v>
      </c>
      <c r="G168" t="s">
        <v>7</v>
      </c>
      <c r="H168">
        <v>0.01</v>
      </c>
      <c r="I168">
        <v>50</v>
      </c>
      <c r="K168" s="14">
        <v>44071</v>
      </c>
      <c r="L168" s="15">
        <v>0.76666666666666661</v>
      </c>
      <c r="M168" s="13" t="s">
        <v>21</v>
      </c>
      <c r="N168" s="13">
        <v>2.38</v>
      </c>
      <c r="O168" s="13">
        <v>50</v>
      </c>
      <c r="Q168" s="18">
        <v>44062</v>
      </c>
      <c r="R168" s="19">
        <v>0.33124999999999999</v>
      </c>
      <c r="S168" s="17" t="s">
        <v>37</v>
      </c>
      <c r="T168" s="17">
        <v>1.2</v>
      </c>
      <c r="U168" s="17">
        <v>70</v>
      </c>
    </row>
    <row r="169" spans="5:21" x14ac:dyDescent="0.25">
      <c r="E169" s="10">
        <v>44058</v>
      </c>
      <c r="F169" s="11">
        <v>0.73125000000000007</v>
      </c>
      <c r="G169" t="s">
        <v>7</v>
      </c>
      <c r="H169">
        <v>0.01</v>
      </c>
      <c r="I169">
        <v>50</v>
      </c>
      <c r="K169" s="14">
        <v>44075</v>
      </c>
      <c r="L169" s="15">
        <v>0.64444444444444449</v>
      </c>
      <c r="M169" s="13" t="s">
        <v>21</v>
      </c>
      <c r="N169" s="13">
        <v>2.8</v>
      </c>
      <c r="O169" s="13">
        <v>25</v>
      </c>
      <c r="Q169" s="18">
        <v>43893</v>
      </c>
      <c r="R169" s="19">
        <v>7.4999999999999997E-2</v>
      </c>
      <c r="S169" s="17" t="s">
        <v>21</v>
      </c>
      <c r="T169" s="17">
        <v>8.39</v>
      </c>
      <c r="U169" s="17">
        <v>900</v>
      </c>
    </row>
    <row r="170" spans="5:21" x14ac:dyDescent="0.25">
      <c r="E170" s="10">
        <v>44058</v>
      </c>
      <c r="F170" s="11">
        <v>0.74444444444444446</v>
      </c>
      <c r="G170" t="s">
        <v>7</v>
      </c>
      <c r="H170">
        <v>0.01</v>
      </c>
      <c r="I170">
        <v>50</v>
      </c>
      <c r="K170" s="14">
        <v>44075</v>
      </c>
      <c r="L170" s="15">
        <v>0.68333333333333324</v>
      </c>
      <c r="M170" s="13" t="s">
        <v>21</v>
      </c>
      <c r="N170" s="13">
        <v>2.1</v>
      </c>
      <c r="O170" s="13">
        <v>50</v>
      </c>
      <c r="Q170" s="18">
        <v>43933</v>
      </c>
      <c r="R170" s="19">
        <v>0.70138888888888884</v>
      </c>
      <c r="S170" s="17" t="s">
        <v>20</v>
      </c>
      <c r="T170" s="17">
        <v>5.56</v>
      </c>
      <c r="U170" s="17">
        <v>500</v>
      </c>
    </row>
    <row r="171" spans="5:21" x14ac:dyDescent="0.25">
      <c r="E171" s="10">
        <v>44059</v>
      </c>
      <c r="F171" s="11">
        <v>0.78125</v>
      </c>
      <c r="G171" t="s">
        <v>7</v>
      </c>
      <c r="H171">
        <v>0.1</v>
      </c>
      <c r="I171">
        <v>10</v>
      </c>
      <c r="K171" s="14">
        <v>43989</v>
      </c>
      <c r="L171" s="15">
        <v>0.71180555555555547</v>
      </c>
      <c r="M171" s="13" t="s">
        <v>16</v>
      </c>
      <c r="N171" s="13">
        <v>0.36</v>
      </c>
      <c r="O171" s="13">
        <v>50</v>
      </c>
      <c r="Q171" s="18">
        <v>43968</v>
      </c>
      <c r="R171" s="19">
        <v>0.59375</v>
      </c>
      <c r="S171" s="17" t="s">
        <v>15</v>
      </c>
      <c r="T171" s="17">
        <v>0.69</v>
      </c>
      <c r="U171" s="17">
        <v>25</v>
      </c>
    </row>
    <row r="172" spans="5:21" x14ac:dyDescent="0.25">
      <c r="E172" s="10">
        <v>44045</v>
      </c>
      <c r="F172" s="11">
        <v>0.67013888888888884</v>
      </c>
      <c r="G172" t="s">
        <v>38</v>
      </c>
      <c r="H172">
        <v>1.7</v>
      </c>
      <c r="I172">
        <v>100</v>
      </c>
      <c r="K172" s="14">
        <v>43989</v>
      </c>
      <c r="L172" s="15">
        <v>0.72569444444444453</v>
      </c>
      <c r="M172" s="13" t="s">
        <v>16</v>
      </c>
      <c r="N172" s="13">
        <v>0.65</v>
      </c>
      <c r="O172" s="13">
        <v>150</v>
      </c>
      <c r="Q172" s="18">
        <v>43868</v>
      </c>
      <c r="R172" s="19">
        <v>0.36041666666666666</v>
      </c>
      <c r="S172" s="17" t="s">
        <v>18</v>
      </c>
      <c r="T172" s="17">
        <v>1.06</v>
      </c>
      <c r="U172" s="17">
        <v>200</v>
      </c>
    </row>
    <row r="173" spans="5:21" x14ac:dyDescent="0.25">
      <c r="E173" s="10">
        <v>44045</v>
      </c>
      <c r="F173" s="11">
        <v>0.69166666666666676</v>
      </c>
      <c r="G173" t="s">
        <v>38</v>
      </c>
      <c r="H173">
        <v>0.5</v>
      </c>
      <c r="I173">
        <v>100</v>
      </c>
      <c r="K173" s="14">
        <v>43989</v>
      </c>
      <c r="L173" s="15">
        <v>0.8125</v>
      </c>
      <c r="M173" s="13" t="s">
        <v>16</v>
      </c>
      <c r="N173" s="13">
        <v>5.35</v>
      </c>
      <c r="O173" s="13">
        <v>50</v>
      </c>
      <c r="Q173" s="18">
        <v>43934</v>
      </c>
      <c r="R173" s="19">
        <v>5.4166666666666669E-2</v>
      </c>
      <c r="S173" s="17" t="s">
        <v>10</v>
      </c>
      <c r="T173" s="17">
        <v>3.97</v>
      </c>
      <c r="U173" s="17">
        <v>400</v>
      </c>
    </row>
    <row r="174" spans="5:21" x14ac:dyDescent="0.25">
      <c r="E174" s="10">
        <v>44045</v>
      </c>
      <c r="F174" s="11">
        <v>0.65</v>
      </c>
      <c r="G174" t="s">
        <v>38</v>
      </c>
      <c r="H174">
        <v>0.25</v>
      </c>
      <c r="I174">
        <v>30</v>
      </c>
      <c r="K174" s="14">
        <v>43989</v>
      </c>
      <c r="L174" s="15">
        <v>0.72013888888888899</v>
      </c>
      <c r="M174" s="13" t="s">
        <v>16</v>
      </c>
      <c r="N174" s="13">
        <v>0.99</v>
      </c>
      <c r="O174" s="13">
        <v>70</v>
      </c>
      <c r="Q174" s="18">
        <v>43840</v>
      </c>
      <c r="R174" s="19">
        <v>0.61527777777777781</v>
      </c>
      <c r="S174" s="17" t="s">
        <v>6</v>
      </c>
      <c r="T174" s="17">
        <v>0.4</v>
      </c>
      <c r="U174" s="17">
        <v>75</v>
      </c>
    </row>
    <row r="175" spans="5:21" x14ac:dyDescent="0.25">
      <c r="E175" s="10">
        <v>44047</v>
      </c>
      <c r="F175" s="11">
        <v>0.4861111111111111</v>
      </c>
      <c r="G175" t="s">
        <v>38</v>
      </c>
      <c r="H175">
        <v>0.03</v>
      </c>
      <c r="I175">
        <v>25</v>
      </c>
      <c r="K175" s="14">
        <v>43990</v>
      </c>
      <c r="L175" s="15">
        <v>0.94027777777777777</v>
      </c>
      <c r="M175" s="13" t="s">
        <v>16</v>
      </c>
      <c r="N175" s="13">
        <v>0.01</v>
      </c>
      <c r="O175" s="13">
        <v>5</v>
      </c>
      <c r="Q175" s="18">
        <v>44047</v>
      </c>
      <c r="R175" s="19">
        <v>3.7499999999999999E-2</v>
      </c>
      <c r="S175" s="17" t="s">
        <v>35</v>
      </c>
      <c r="T175" s="17">
        <v>21</v>
      </c>
      <c r="U175" s="17">
        <v>150</v>
      </c>
    </row>
    <row r="176" spans="5:21" x14ac:dyDescent="0.25">
      <c r="E176" s="10">
        <v>44070</v>
      </c>
      <c r="F176" s="11">
        <v>0.57847222222222217</v>
      </c>
      <c r="G176" t="s">
        <v>38</v>
      </c>
      <c r="H176">
        <v>11.1</v>
      </c>
      <c r="I176">
        <v>500</v>
      </c>
      <c r="K176" s="14">
        <v>44002</v>
      </c>
      <c r="L176" s="15">
        <v>0.79791666666666661</v>
      </c>
      <c r="M176" s="13" t="s">
        <v>16</v>
      </c>
      <c r="N176" s="13">
        <v>0.18</v>
      </c>
      <c r="O176" s="13">
        <v>10</v>
      </c>
      <c r="Q176" s="18">
        <v>44072</v>
      </c>
      <c r="R176" s="19">
        <v>0.65416666666666667</v>
      </c>
      <c r="S176" s="17" t="s">
        <v>36</v>
      </c>
      <c r="T176" s="17">
        <v>2.17</v>
      </c>
      <c r="U176" s="17">
        <v>100</v>
      </c>
    </row>
    <row r="177" spans="5:21" x14ac:dyDescent="0.25">
      <c r="E177" s="10">
        <v>44070</v>
      </c>
      <c r="F177" s="11">
        <v>0.55833333333333335</v>
      </c>
      <c r="G177" t="s">
        <v>38</v>
      </c>
      <c r="H177">
        <v>0.51</v>
      </c>
      <c r="I177">
        <v>75</v>
      </c>
      <c r="K177" s="14">
        <v>44016</v>
      </c>
      <c r="L177" s="15">
        <v>0.77430555555555547</v>
      </c>
      <c r="M177" s="13" t="s">
        <v>16</v>
      </c>
      <c r="N177" s="13">
        <v>2.66</v>
      </c>
      <c r="O177" s="13">
        <v>150</v>
      </c>
      <c r="Q177" s="18">
        <v>43943</v>
      </c>
      <c r="R177" s="19">
        <v>0.8520833333333333</v>
      </c>
      <c r="S177" s="17" t="s">
        <v>26</v>
      </c>
      <c r="T177" s="17">
        <v>3.85</v>
      </c>
      <c r="U177" s="17">
        <v>500</v>
      </c>
    </row>
    <row r="178" spans="5:21" x14ac:dyDescent="0.25">
      <c r="E178" s="10">
        <v>44070</v>
      </c>
      <c r="F178" s="11">
        <v>0.56666666666666665</v>
      </c>
      <c r="G178" t="s">
        <v>38</v>
      </c>
      <c r="H178">
        <v>0.06</v>
      </c>
      <c r="I178">
        <v>20</v>
      </c>
      <c r="K178" s="14">
        <v>44018</v>
      </c>
      <c r="L178" s="15">
        <v>0.78055555555555556</v>
      </c>
      <c r="M178" s="13" t="s">
        <v>16</v>
      </c>
      <c r="N178" s="13">
        <v>5.05</v>
      </c>
      <c r="O178" s="13">
        <v>770</v>
      </c>
      <c r="Q178" s="18">
        <v>43908</v>
      </c>
      <c r="R178" s="19">
        <v>0.85833333333333339</v>
      </c>
      <c r="S178" s="17" t="s">
        <v>6</v>
      </c>
      <c r="T178" s="17">
        <v>1.55</v>
      </c>
      <c r="U178" s="17">
        <v>120</v>
      </c>
    </row>
    <row r="179" spans="5:21" x14ac:dyDescent="0.25">
      <c r="E179" s="10">
        <v>44047</v>
      </c>
      <c r="F179" s="11">
        <v>0.28819444444444448</v>
      </c>
      <c r="G179" t="s">
        <v>40</v>
      </c>
      <c r="H179">
        <v>35.78</v>
      </c>
      <c r="I179">
        <v>500</v>
      </c>
      <c r="K179" s="14">
        <v>44022</v>
      </c>
      <c r="L179" s="15">
        <v>0.77916666666666667</v>
      </c>
      <c r="M179" s="13" t="s">
        <v>16</v>
      </c>
      <c r="N179" s="13">
        <v>11.54</v>
      </c>
      <c r="O179" s="13">
        <v>500</v>
      </c>
      <c r="Q179" s="18">
        <v>43944</v>
      </c>
      <c r="R179" s="19">
        <v>3.9583333333333331E-2</v>
      </c>
      <c r="S179" s="17" t="s">
        <v>24</v>
      </c>
      <c r="T179" s="17">
        <v>11.43</v>
      </c>
      <c r="U179" s="17">
        <v>1230</v>
      </c>
    </row>
    <row r="180" spans="5:21" x14ac:dyDescent="0.25">
      <c r="E180" s="10">
        <v>44047</v>
      </c>
      <c r="F180" s="11">
        <v>0.2673611111111111</v>
      </c>
      <c r="G180" t="s">
        <v>40</v>
      </c>
      <c r="H180">
        <v>2.98</v>
      </c>
      <c r="I180">
        <v>200</v>
      </c>
      <c r="K180" s="14">
        <v>44022</v>
      </c>
      <c r="L180" s="15">
        <v>0.64930555555555558</v>
      </c>
      <c r="M180" s="13" t="s">
        <v>16</v>
      </c>
      <c r="N180" s="13">
        <v>14.81</v>
      </c>
      <c r="O180" s="13">
        <v>250</v>
      </c>
      <c r="Q180" s="18">
        <v>43840</v>
      </c>
      <c r="R180" s="19">
        <v>0.8222222222222223</v>
      </c>
      <c r="S180" s="17" t="s">
        <v>29</v>
      </c>
      <c r="T180" s="17">
        <v>13.6</v>
      </c>
      <c r="U180" s="17">
        <v>250</v>
      </c>
    </row>
    <row r="181" spans="5:21" x14ac:dyDescent="0.25">
      <c r="E181" s="10">
        <v>44047</v>
      </c>
      <c r="F181" s="11">
        <v>0.2673611111111111</v>
      </c>
      <c r="G181" t="s">
        <v>40</v>
      </c>
      <c r="H181">
        <v>2.14</v>
      </c>
      <c r="I181">
        <v>400</v>
      </c>
      <c r="K181" s="14">
        <v>44035</v>
      </c>
      <c r="L181" s="15">
        <v>0.62291666666666667</v>
      </c>
      <c r="M181" s="13" t="s">
        <v>16</v>
      </c>
      <c r="N181" s="13">
        <v>0.05</v>
      </c>
      <c r="O181" s="13">
        <v>10</v>
      </c>
      <c r="Q181" s="18">
        <v>43934</v>
      </c>
      <c r="R181" s="19">
        <v>0.18888888888888888</v>
      </c>
      <c r="S181" s="17" t="s">
        <v>14</v>
      </c>
      <c r="T181" s="17">
        <v>4.53</v>
      </c>
      <c r="U181" s="17">
        <v>440</v>
      </c>
    </row>
    <row r="182" spans="5:21" x14ac:dyDescent="0.25">
      <c r="E182" s="10">
        <v>44050</v>
      </c>
      <c r="F182" s="11">
        <v>0.65277777777777779</v>
      </c>
      <c r="G182" t="s">
        <v>40</v>
      </c>
      <c r="H182">
        <v>4.17</v>
      </c>
      <c r="I182">
        <v>450</v>
      </c>
      <c r="K182" s="14">
        <v>44047</v>
      </c>
      <c r="L182" s="15">
        <v>0.73541666666666661</v>
      </c>
      <c r="M182" s="13" t="s">
        <v>16</v>
      </c>
      <c r="N182" s="13">
        <v>0.02</v>
      </c>
      <c r="O182" s="13">
        <v>10</v>
      </c>
      <c r="Q182" s="18">
        <v>43866</v>
      </c>
      <c r="R182" s="19">
        <v>0.73125000000000007</v>
      </c>
      <c r="S182" s="17" t="s">
        <v>24</v>
      </c>
      <c r="T182" s="17">
        <v>9.1300000000000008</v>
      </c>
      <c r="U182" s="17">
        <v>250</v>
      </c>
    </row>
    <row r="183" spans="5:21" x14ac:dyDescent="0.25">
      <c r="E183" s="10">
        <v>43834</v>
      </c>
      <c r="F183" s="11">
        <v>0.43472222222222223</v>
      </c>
      <c r="G183" t="s">
        <v>19</v>
      </c>
      <c r="H183">
        <v>4.3899999999999997</v>
      </c>
      <c r="I183">
        <v>265</v>
      </c>
      <c r="K183" s="14">
        <v>44047</v>
      </c>
      <c r="L183" s="15">
        <v>0.7284722222222223</v>
      </c>
      <c r="M183" s="13" t="s">
        <v>16</v>
      </c>
      <c r="N183" s="13">
        <v>0.02</v>
      </c>
      <c r="O183" s="13">
        <v>10</v>
      </c>
      <c r="Q183" s="18">
        <v>44069</v>
      </c>
      <c r="R183" s="19">
        <v>0.53819444444444442</v>
      </c>
      <c r="S183" s="17" t="s">
        <v>26</v>
      </c>
      <c r="T183" s="17">
        <v>0.05</v>
      </c>
      <c r="U183" s="17">
        <v>10</v>
      </c>
    </row>
    <row r="184" spans="5:21" x14ac:dyDescent="0.25">
      <c r="E184" s="10">
        <v>43834</v>
      </c>
      <c r="F184" s="11">
        <v>0.39513888888888887</v>
      </c>
      <c r="G184" t="s">
        <v>19</v>
      </c>
      <c r="H184">
        <v>2.38</v>
      </c>
      <c r="I184">
        <v>175</v>
      </c>
      <c r="K184" s="14">
        <v>44064</v>
      </c>
      <c r="L184" s="15">
        <v>0.62708333333333333</v>
      </c>
      <c r="M184" s="13" t="s">
        <v>16</v>
      </c>
      <c r="N184" s="13">
        <v>0.09</v>
      </c>
      <c r="O184" s="13">
        <v>10</v>
      </c>
      <c r="Q184" s="18">
        <v>43944</v>
      </c>
      <c r="R184" s="19">
        <v>0.74722222222222223</v>
      </c>
      <c r="S184" s="17" t="s">
        <v>19</v>
      </c>
      <c r="T184" s="17">
        <v>0.46</v>
      </c>
      <c r="U184" s="17">
        <v>100</v>
      </c>
    </row>
    <row r="185" spans="5:21" x14ac:dyDescent="0.25">
      <c r="E185" s="10">
        <v>43861</v>
      </c>
      <c r="F185" s="11">
        <v>0.89930555555555547</v>
      </c>
      <c r="G185" t="s">
        <v>19</v>
      </c>
      <c r="H185">
        <v>4.68</v>
      </c>
      <c r="I185">
        <v>50</v>
      </c>
      <c r="K185" s="14">
        <v>44070</v>
      </c>
      <c r="L185" s="15">
        <v>0.99722222222222223</v>
      </c>
      <c r="M185" s="13" t="s">
        <v>16</v>
      </c>
      <c r="N185" s="13">
        <v>2.83</v>
      </c>
      <c r="O185" s="13">
        <v>40</v>
      </c>
      <c r="Q185" s="18">
        <v>43977</v>
      </c>
      <c r="R185" s="19">
        <v>0.51250000000000007</v>
      </c>
      <c r="S185" s="17" t="s">
        <v>23</v>
      </c>
      <c r="T185" s="17">
        <v>0.95</v>
      </c>
      <c r="U185" s="17">
        <v>40</v>
      </c>
    </row>
    <row r="186" spans="5:21" x14ac:dyDescent="0.25">
      <c r="E186" s="10">
        <v>43867</v>
      </c>
      <c r="F186" s="11">
        <v>0.90138888888888891</v>
      </c>
      <c r="G186" t="s">
        <v>19</v>
      </c>
      <c r="H186">
        <v>9.24</v>
      </c>
      <c r="I186">
        <v>50</v>
      </c>
      <c r="K186" s="14">
        <v>44070</v>
      </c>
      <c r="L186" s="15">
        <v>0.99722222222222223</v>
      </c>
      <c r="M186" s="13" t="s">
        <v>16</v>
      </c>
      <c r="N186" s="13">
        <v>1.83</v>
      </c>
      <c r="O186" s="13">
        <v>40</v>
      </c>
      <c r="Q186" s="18">
        <v>44006</v>
      </c>
      <c r="R186" s="19">
        <v>0.5625</v>
      </c>
      <c r="S186" s="17" t="s">
        <v>26</v>
      </c>
      <c r="T186" s="17">
        <v>0.7</v>
      </c>
      <c r="U186" s="17">
        <v>75</v>
      </c>
    </row>
    <row r="187" spans="5:21" x14ac:dyDescent="0.25">
      <c r="E187" s="10">
        <v>43921</v>
      </c>
      <c r="F187" s="11">
        <v>0.59513888888888888</v>
      </c>
      <c r="G187" t="s">
        <v>19</v>
      </c>
      <c r="H187">
        <v>11.74</v>
      </c>
      <c r="I187">
        <v>100</v>
      </c>
      <c r="K187" s="14">
        <v>44071</v>
      </c>
      <c r="L187" s="15">
        <v>4.7222222222222221E-2</v>
      </c>
      <c r="M187" s="13" t="s">
        <v>16</v>
      </c>
      <c r="N187" s="13">
        <v>0.12</v>
      </c>
      <c r="O187" s="13">
        <v>50</v>
      </c>
      <c r="Q187" s="18">
        <v>43909</v>
      </c>
      <c r="R187" s="19">
        <v>0.77083333333333337</v>
      </c>
      <c r="S187" s="17" t="s">
        <v>29</v>
      </c>
      <c r="T187" s="17">
        <v>2.16</v>
      </c>
      <c r="U187" s="17">
        <v>600</v>
      </c>
    </row>
    <row r="188" spans="5:21" x14ac:dyDescent="0.25">
      <c r="E188" s="10">
        <v>43921</v>
      </c>
      <c r="F188" s="11">
        <v>0.59027777777777779</v>
      </c>
      <c r="G188" t="s">
        <v>19</v>
      </c>
      <c r="H188">
        <v>9.2100000000000009</v>
      </c>
      <c r="I188">
        <v>150</v>
      </c>
      <c r="K188" s="14">
        <v>44071</v>
      </c>
      <c r="L188" s="15">
        <v>4.7916666666666663E-2</v>
      </c>
      <c r="M188" s="13" t="s">
        <v>16</v>
      </c>
      <c r="N188" s="13">
        <v>0.73</v>
      </c>
      <c r="O188" s="13">
        <v>30</v>
      </c>
      <c r="Q188" s="18">
        <v>44020</v>
      </c>
      <c r="R188" s="19">
        <v>0.67222222222222217</v>
      </c>
      <c r="S188" s="17" t="s">
        <v>8</v>
      </c>
      <c r="T188" s="17">
        <v>8.86</v>
      </c>
      <c r="U188" s="17">
        <v>650</v>
      </c>
    </row>
    <row r="189" spans="5:21" x14ac:dyDescent="0.25">
      <c r="E189" s="10">
        <v>43921</v>
      </c>
      <c r="F189" s="11">
        <v>0.6430555555555556</v>
      </c>
      <c r="G189" t="s">
        <v>19</v>
      </c>
      <c r="H189">
        <v>0.8</v>
      </c>
      <c r="I189">
        <v>704</v>
      </c>
      <c r="K189" s="14">
        <v>44071</v>
      </c>
      <c r="L189" s="15">
        <v>1.8749999999999999E-2</v>
      </c>
      <c r="M189" s="13" t="s">
        <v>16</v>
      </c>
      <c r="N189" s="13">
        <v>0.61</v>
      </c>
      <c r="O189" s="13">
        <v>25</v>
      </c>
      <c r="Q189" s="18">
        <v>43965</v>
      </c>
      <c r="R189" s="19">
        <v>0.82847222222222217</v>
      </c>
      <c r="S189" s="17" t="s">
        <v>12</v>
      </c>
      <c r="T189" s="17">
        <v>1.6</v>
      </c>
      <c r="U189" s="17">
        <v>50</v>
      </c>
    </row>
    <row r="190" spans="5:21" x14ac:dyDescent="0.25">
      <c r="E190" s="10">
        <v>43921</v>
      </c>
      <c r="F190" s="11">
        <v>0.7284722222222223</v>
      </c>
      <c r="G190" t="s">
        <v>19</v>
      </c>
      <c r="H190">
        <v>0.39</v>
      </c>
      <c r="I190">
        <v>704</v>
      </c>
      <c r="K190" s="14">
        <v>44071</v>
      </c>
      <c r="L190" s="15">
        <v>4.7916666666666663E-2</v>
      </c>
      <c r="M190" s="13" t="s">
        <v>16</v>
      </c>
      <c r="N190" s="13">
        <v>0.21</v>
      </c>
      <c r="O190" s="13">
        <v>20</v>
      </c>
      <c r="Q190" s="18">
        <v>43990</v>
      </c>
      <c r="R190" s="19">
        <v>0.67291666666666661</v>
      </c>
      <c r="S190" s="17" t="s">
        <v>31</v>
      </c>
      <c r="T190" s="17">
        <v>3</v>
      </c>
      <c r="U190" s="17">
        <v>150</v>
      </c>
    </row>
    <row r="191" spans="5:21" x14ac:dyDescent="0.25">
      <c r="E191" s="10">
        <v>43921</v>
      </c>
      <c r="F191" s="11">
        <v>0.49652777777777773</v>
      </c>
      <c r="G191" t="s">
        <v>19</v>
      </c>
      <c r="H191">
        <v>0.17</v>
      </c>
      <c r="I191">
        <v>25</v>
      </c>
      <c r="K191" s="14">
        <v>44071</v>
      </c>
      <c r="L191" s="15">
        <v>4.9305555555555554E-2</v>
      </c>
      <c r="M191" s="13" t="s">
        <v>16</v>
      </c>
      <c r="N191" s="13">
        <v>0.91</v>
      </c>
      <c r="O191" s="13">
        <v>40</v>
      </c>
      <c r="Q191" s="18">
        <v>44047</v>
      </c>
      <c r="R191" s="19">
        <v>0.32291666666666669</v>
      </c>
      <c r="S191" s="17" t="s">
        <v>37</v>
      </c>
      <c r="T191" s="17">
        <v>4.24</v>
      </c>
      <c r="U191" s="17">
        <v>150</v>
      </c>
    </row>
    <row r="192" spans="5:21" x14ac:dyDescent="0.25">
      <c r="E192" s="10">
        <v>43921</v>
      </c>
      <c r="F192" s="11">
        <v>0.60625000000000007</v>
      </c>
      <c r="G192" t="s">
        <v>19</v>
      </c>
      <c r="H192">
        <v>0.11</v>
      </c>
      <c r="I192">
        <v>50</v>
      </c>
      <c r="K192" s="14">
        <v>44071</v>
      </c>
      <c r="L192" s="15">
        <v>1.8055555555555557E-2</v>
      </c>
      <c r="M192" s="13" t="s">
        <v>16</v>
      </c>
      <c r="N192" s="13">
        <v>0.36</v>
      </c>
      <c r="O192" s="13">
        <v>25</v>
      </c>
      <c r="Q192" s="18">
        <v>43909</v>
      </c>
      <c r="R192" s="19">
        <v>0.3923611111111111</v>
      </c>
      <c r="S192" s="17" t="s">
        <v>33</v>
      </c>
      <c r="T192" s="17">
        <v>2.7</v>
      </c>
      <c r="U192" s="17">
        <v>225</v>
      </c>
    </row>
    <row r="193" spans="5:21" x14ac:dyDescent="0.25">
      <c r="E193" s="10">
        <v>43934</v>
      </c>
      <c r="F193" s="11">
        <v>0.33958333333333335</v>
      </c>
      <c r="G193" t="s">
        <v>19</v>
      </c>
      <c r="H193">
        <v>3.06</v>
      </c>
      <c r="I193">
        <v>175</v>
      </c>
      <c r="K193" s="14">
        <v>44073</v>
      </c>
      <c r="L193" s="15">
        <v>0.7104166666666667</v>
      </c>
      <c r="M193" s="13" t="s">
        <v>16</v>
      </c>
      <c r="N193" s="13">
        <v>1.6</v>
      </c>
      <c r="O193" s="13">
        <v>300</v>
      </c>
      <c r="Q193" s="18">
        <v>44047</v>
      </c>
      <c r="R193" s="19">
        <v>0.16319444444444445</v>
      </c>
      <c r="S193" s="17" t="s">
        <v>18</v>
      </c>
      <c r="T193" s="17">
        <v>1.3</v>
      </c>
      <c r="U193" s="17">
        <v>150</v>
      </c>
    </row>
    <row r="194" spans="5:21" x14ac:dyDescent="0.25">
      <c r="E194" s="10">
        <v>43936</v>
      </c>
      <c r="F194" s="11">
        <v>0.22013888888888888</v>
      </c>
      <c r="G194" t="s">
        <v>19</v>
      </c>
      <c r="H194">
        <v>14.86</v>
      </c>
      <c r="I194">
        <v>125</v>
      </c>
      <c r="K194" s="14">
        <v>43841</v>
      </c>
      <c r="L194" s="15">
        <v>0.81944444444444453</v>
      </c>
      <c r="M194" s="13" t="s">
        <v>10</v>
      </c>
      <c r="N194" s="13">
        <v>2.44</v>
      </c>
      <c r="O194" s="13">
        <v>50</v>
      </c>
      <c r="Q194" s="18">
        <v>44037</v>
      </c>
      <c r="R194" s="19">
        <v>0.72986111111111107</v>
      </c>
      <c r="S194" s="17" t="s">
        <v>8</v>
      </c>
      <c r="T194" s="17">
        <v>1.89</v>
      </c>
      <c r="U194" s="17">
        <v>50</v>
      </c>
    </row>
    <row r="195" spans="5:21" x14ac:dyDescent="0.25">
      <c r="E195" s="10">
        <v>43938</v>
      </c>
      <c r="F195" s="11">
        <v>0.87013888888888891</v>
      </c>
      <c r="G195" t="s">
        <v>19</v>
      </c>
      <c r="H195">
        <v>0.83</v>
      </c>
      <c r="I195">
        <v>75</v>
      </c>
      <c r="K195" s="14">
        <v>43841</v>
      </c>
      <c r="L195" s="15">
        <v>0.8979166666666667</v>
      </c>
      <c r="M195" s="13" t="s">
        <v>10</v>
      </c>
      <c r="N195" s="13">
        <v>0.55000000000000004</v>
      </c>
      <c r="O195" s="13">
        <v>150</v>
      </c>
      <c r="Q195" s="18">
        <v>44077</v>
      </c>
      <c r="R195" s="19">
        <v>0.6645833333333333</v>
      </c>
      <c r="S195" s="17" t="s">
        <v>18</v>
      </c>
      <c r="T195" s="17">
        <v>6.05</v>
      </c>
      <c r="U195" s="17">
        <v>100</v>
      </c>
    </row>
    <row r="196" spans="5:21" x14ac:dyDescent="0.25">
      <c r="E196" s="10">
        <v>43940</v>
      </c>
      <c r="F196" s="11">
        <v>0.96319444444444446</v>
      </c>
      <c r="G196" t="s">
        <v>19</v>
      </c>
      <c r="H196">
        <v>0.19</v>
      </c>
      <c r="I196">
        <v>50</v>
      </c>
      <c r="K196" s="14">
        <v>43841</v>
      </c>
      <c r="L196" s="15">
        <v>0.81944444444444453</v>
      </c>
      <c r="M196" s="13" t="s">
        <v>10</v>
      </c>
      <c r="N196" s="13">
        <v>0.66</v>
      </c>
      <c r="O196" s="13">
        <v>160</v>
      </c>
      <c r="Q196" s="18">
        <v>43841</v>
      </c>
      <c r="R196" s="19">
        <v>0.68333333333333324</v>
      </c>
      <c r="S196" s="17" t="s">
        <v>9</v>
      </c>
      <c r="T196" s="17">
        <v>3.05</v>
      </c>
      <c r="U196" s="17">
        <v>450</v>
      </c>
    </row>
    <row r="197" spans="5:21" x14ac:dyDescent="0.25">
      <c r="E197" s="10">
        <v>43941</v>
      </c>
      <c r="F197" s="11">
        <v>0.31875000000000003</v>
      </c>
      <c r="G197" t="s">
        <v>19</v>
      </c>
      <c r="H197">
        <v>7.25</v>
      </c>
      <c r="I197">
        <v>35</v>
      </c>
      <c r="K197" s="14">
        <v>43841</v>
      </c>
      <c r="L197" s="15">
        <v>0.79583333333333339</v>
      </c>
      <c r="M197" s="13" t="s">
        <v>10</v>
      </c>
      <c r="N197" s="13">
        <v>0.27</v>
      </c>
      <c r="O197" s="13">
        <v>50</v>
      </c>
      <c r="Q197" s="18">
        <v>44027</v>
      </c>
      <c r="R197" s="19">
        <v>0.53125</v>
      </c>
      <c r="S197" s="17" t="s">
        <v>15</v>
      </c>
      <c r="T197" s="17">
        <v>0.13</v>
      </c>
      <c r="U197" s="17">
        <v>10</v>
      </c>
    </row>
    <row r="198" spans="5:21" x14ac:dyDescent="0.25">
      <c r="E198" s="10">
        <v>43941</v>
      </c>
      <c r="F198" s="11">
        <v>0.40625</v>
      </c>
      <c r="G198" t="s">
        <v>19</v>
      </c>
      <c r="H198">
        <v>2.74</v>
      </c>
      <c r="I198">
        <v>25</v>
      </c>
      <c r="K198" s="14">
        <v>43841</v>
      </c>
      <c r="L198" s="15">
        <v>0.7944444444444444</v>
      </c>
      <c r="M198" s="13" t="s">
        <v>10</v>
      </c>
      <c r="N198" s="13">
        <v>0.44</v>
      </c>
      <c r="O198" s="13">
        <v>30</v>
      </c>
      <c r="Q198" s="18">
        <v>44070</v>
      </c>
      <c r="R198" s="19">
        <v>0.85</v>
      </c>
      <c r="S198" s="17" t="s">
        <v>29</v>
      </c>
      <c r="T198" s="17">
        <v>0.89</v>
      </c>
      <c r="U198" s="17">
        <v>50</v>
      </c>
    </row>
    <row r="199" spans="5:21" x14ac:dyDescent="0.25">
      <c r="E199" s="10">
        <v>43941</v>
      </c>
      <c r="F199" s="11">
        <v>0.31597222222222221</v>
      </c>
      <c r="G199" t="s">
        <v>19</v>
      </c>
      <c r="H199">
        <v>0.46</v>
      </c>
      <c r="I199">
        <v>500</v>
      </c>
      <c r="K199" s="14">
        <v>43841</v>
      </c>
      <c r="L199" s="15">
        <v>0.82291666666666663</v>
      </c>
      <c r="M199" s="13" t="s">
        <v>10</v>
      </c>
      <c r="N199" s="13">
        <v>0.53</v>
      </c>
      <c r="O199" s="13">
        <v>30</v>
      </c>
      <c r="Q199" s="18">
        <v>43972</v>
      </c>
      <c r="R199" s="19">
        <v>0.5805555555555556</v>
      </c>
      <c r="S199" s="17" t="s">
        <v>14</v>
      </c>
      <c r="T199" s="17">
        <v>0.2</v>
      </c>
      <c r="U199" s="17">
        <v>200</v>
      </c>
    </row>
    <row r="200" spans="5:21" x14ac:dyDescent="0.25">
      <c r="E200" s="10">
        <v>43944</v>
      </c>
      <c r="F200" s="11">
        <v>0.6166666666666667</v>
      </c>
      <c r="G200" t="s">
        <v>19</v>
      </c>
      <c r="H200">
        <v>17.239999999999998</v>
      </c>
      <c r="I200">
        <v>400</v>
      </c>
      <c r="K200" s="14">
        <v>43843</v>
      </c>
      <c r="L200" s="15">
        <v>0.48958333333333331</v>
      </c>
      <c r="M200" s="13" t="s">
        <v>10</v>
      </c>
      <c r="N200" s="13">
        <v>1.21</v>
      </c>
      <c r="O200" s="13">
        <v>45</v>
      </c>
      <c r="Q200" s="18">
        <v>44070</v>
      </c>
      <c r="R200" s="19">
        <v>0.55833333333333335</v>
      </c>
      <c r="S200" s="17" t="s">
        <v>38</v>
      </c>
      <c r="T200" s="17">
        <v>0.51</v>
      </c>
      <c r="U200" s="17">
        <v>75</v>
      </c>
    </row>
    <row r="201" spans="5:21" x14ac:dyDescent="0.25">
      <c r="E201" s="10">
        <v>43944</v>
      </c>
      <c r="F201" s="11">
        <v>0.625</v>
      </c>
      <c r="G201" t="s">
        <v>19</v>
      </c>
      <c r="H201">
        <v>13.4</v>
      </c>
      <c r="I201">
        <v>75</v>
      </c>
      <c r="K201" s="14">
        <v>43867</v>
      </c>
      <c r="L201" s="15">
        <v>0.57777777777777783</v>
      </c>
      <c r="M201" s="13" t="s">
        <v>10</v>
      </c>
      <c r="N201" s="13">
        <v>1.1399999999999999</v>
      </c>
      <c r="O201" s="13">
        <v>75</v>
      </c>
      <c r="Q201" s="18">
        <v>43867</v>
      </c>
      <c r="R201" s="19">
        <v>9.2361111111111116E-2</v>
      </c>
      <c r="S201" s="17" t="s">
        <v>20</v>
      </c>
      <c r="T201" s="17">
        <v>1.29</v>
      </c>
      <c r="U201" s="17">
        <v>400</v>
      </c>
    </row>
    <row r="202" spans="5:21" x14ac:dyDescent="0.25">
      <c r="E202" s="10">
        <v>43944</v>
      </c>
      <c r="F202" s="11">
        <v>0.68194444444444446</v>
      </c>
      <c r="G202" t="s">
        <v>19</v>
      </c>
      <c r="H202">
        <v>10.58</v>
      </c>
      <c r="I202">
        <v>600</v>
      </c>
      <c r="K202" s="14">
        <v>43867</v>
      </c>
      <c r="L202" s="15">
        <v>0.38958333333333334</v>
      </c>
      <c r="M202" s="13" t="s">
        <v>10</v>
      </c>
      <c r="N202" s="13">
        <v>10.14</v>
      </c>
      <c r="O202" s="13">
        <v>100</v>
      </c>
      <c r="Q202" s="18">
        <v>43921</v>
      </c>
      <c r="R202" s="19">
        <v>0.35416666666666669</v>
      </c>
      <c r="S202" s="17" t="s">
        <v>24</v>
      </c>
      <c r="T202" s="17">
        <v>8.15</v>
      </c>
      <c r="U202" s="17">
        <v>50</v>
      </c>
    </row>
    <row r="203" spans="5:21" x14ac:dyDescent="0.25">
      <c r="E203" s="10">
        <v>43944</v>
      </c>
      <c r="F203" s="11">
        <v>0.59236111111111112</v>
      </c>
      <c r="G203" t="s">
        <v>19</v>
      </c>
      <c r="H203">
        <v>9.07</v>
      </c>
      <c r="I203">
        <v>100</v>
      </c>
      <c r="K203" s="14">
        <v>43934</v>
      </c>
      <c r="L203" s="15">
        <v>0.26041666666666669</v>
      </c>
      <c r="M203" s="13" t="s">
        <v>10</v>
      </c>
      <c r="N203" s="13">
        <v>11</v>
      </c>
      <c r="O203" s="13">
        <v>50</v>
      </c>
      <c r="Q203" s="18">
        <v>44014</v>
      </c>
      <c r="R203" s="19">
        <v>0.61111111111111105</v>
      </c>
      <c r="S203" s="17" t="s">
        <v>7</v>
      </c>
      <c r="T203" s="17">
        <v>0.49</v>
      </c>
      <c r="U203" s="17">
        <v>30</v>
      </c>
    </row>
    <row r="204" spans="5:21" x14ac:dyDescent="0.25">
      <c r="E204" s="10">
        <v>43944</v>
      </c>
      <c r="F204" s="11">
        <v>0.70416666666666661</v>
      </c>
      <c r="G204" t="s">
        <v>19</v>
      </c>
      <c r="H204">
        <v>3.85</v>
      </c>
      <c r="I204">
        <v>100</v>
      </c>
      <c r="K204" s="14">
        <v>43934</v>
      </c>
      <c r="L204" s="15">
        <v>0.15902777777777777</v>
      </c>
      <c r="M204" s="13" t="s">
        <v>10</v>
      </c>
      <c r="N204" s="13">
        <v>1.39</v>
      </c>
      <c r="O204" s="13">
        <v>40</v>
      </c>
      <c r="Q204" s="18">
        <v>43988</v>
      </c>
      <c r="R204" s="19">
        <v>0.69444444444444453</v>
      </c>
      <c r="S204" s="17" t="s">
        <v>19</v>
      </c>
      <c r="T204" s="17">
        <v>0.01</v>
      </c>
      <c r="U204" s="17">
        <v>20</v>
      </c>
    </row>
    <row r="205" spans="5:21" x14ac:dyDescent="0.25">
      <c r="E205" s="10">
        <v>43944</v>
      </c>
      <c r="F205" s="11">
        <v>0.57708333333333328</v>
      </c>
      <c r="G205" t="s">
        <v>19</v>
      </c>
      <c r="H205">
        <v>2.7</v>
      </c>
      <c r="I205">
        <v>50</v>
      </c>
      <c r="K205" s="14">
        <v>43934</v>
      </c>
      <c r="L205" s="15">
        <v>0.17361111111111113</v>
      </c>
      <c r="M205" s="13" t="s">
        <v>10</v>
      </c>
      <c r="N205" s="13">
        <v>23.73</v>
      </c>
      <c r="O205" s="13">
        <v>1300</v>
      </c>
      <c r="Q205" s="18">
        <v>44150</v>
      </c>
      <c r="R205" s="19">
        <v>5.2083333333333336E-2</v>
      </c>
      <c r="S205" s="17" t="s">
        <v>29</v>
      </c>
      <c r="T205" s="17">
        <v>2</v>
      </c>
      <c r="U205" s="17">
        <v>150</v>
      </c>
    </row>
    <row r="206" spans="5:21" x14ac:dyDescent="0.25">
      <c r="E206" s="10">
        <v>43944</v>
      </c>
      <c r="F206" s="11">
        <v>0.63124999999999998</v>
      </c>
      <c r="G206" t="s">
        <v>19</v>
      </c>
      <c r="H206">
        <v>0.9</v>
      </c>
      <c r="I206">
        <v>50</v>
      </c>
      <c r="K206" s="14">
        <v>43934</v>
      </c>
      <c r="L206" s="15">
        <v>0.27291666666666664</v>
      </c>
      <c r="M206" s="13" t="s">
        <v>10</v>
      </c>
      <c r="N206" s="13">
        <v>0.3</v>
      </c>
      <c r="O206" s="13">
        <v>60</v>
      </c>
      <c r="Q206" s="18">
        <v>44027</v>
      </c>
      <c r="R206" s="19">
        <v>0.52569444444444446</v>
      </c>
      <c r="S206" s="17" t="s">
        <v>15</v>
      </c>
      <c r="T206" s="17">
        <v>0.12</v>
      </c>
      <c r="U206" s="17">
        <v>10</v>
      </c>
    </row>
    <row r="207" spans="5:21" x14ac:dyDescent="0.25">
      <c r="E207" s="10">
        <v>43944</v>
      </c>
      <c r="F207" s="11">
        <v>0.7993055555555556</v>
      </c>
      <c r="G207" t="s">
        <v>19</v>
      </c>
      <c r="H207">
        <v>0.6</v>
      </c>
      <c r="I207">
        <v>50</v>
      </c>
      <c r="K207" s="14">
        <v>43934</v>
      </c>
      <c r="L207" s="15">
        <v>0.19375000000000001</v>
      </c>
      <c r="M207" s="13" t="s">
        <v>10</v>
      </c>
      <c r="N207" s="13">
        <v>1.44</v>
      </c>
      <c r="O207" s="13">
        <v>50</v>
      </c>
      <c r="Q207" s="18">
        <v>44018</v>
      </c>
      <c r="R207" s="19">
        <v>0.77638888888888891</v>
      </c>
      <c r="S207" s="17" t="s">
        <v>39</v>
      </c>
      <c r="T207" s="17">
        <v>2.06</v>
      </c>
      <c r="U207" s="17">
        <v>770</v>
      </c>
    </row>
    <row r="208" spans="5:21" x14ac:dyDescent="0.25">
      <c r="E208" s="10">
        <v>43944</v>
      </c>
      <c r="F208" s="11">
        <v>0.74722222222222223</v>
      </c>
      <c r="G208" t="s">
        <v>19</v>
      </c>
      <c r="H208">
        <v>0.46</v>
      </c>
      <c r="I208">
        <v>100</v>
      </c>
      <c r="K208" s="14">
        <v>43934</v>
      </c>
      <c r="L208" s="15">
        <v>5.4166666666666669E-2</v>
      </c>
      <c r="M208" s="13" t="s">
        <v>10</v>
      </c>
      <c r="N208" s="13">
        <v>3.97</v>
      </c>
      <c r="O208" s="13">
        <v>400</v>
      </c>
      <c r="Q208" s="18">
        <v>43975</v>
      </c>
      <c r="R208" s="19">
        <v>0.97916666666666663</v>
      </c>
      <c r="S208" s="17" t="s">
        <v>19</v>
      </c>
      <c r="T208" s="17">
        <v>4.83</v>
      </c>
      <c r="U208" s="17">
        <v>40</v>
      </c>
    </row>
    <row r="209" spans="5:21" x14ac:dyDescent="0.25">
      <c r="E209" s="10">
        <v>43950</v>
      </c>
      <c r="F209" s="11">
        <v>0.7319444444444444</v>
      </c>
      <c r="G209" t="s">
        <v>19</v>
      </c>
      <c r="H209">
        <v>0.96</v>
      </c>
      <c r="I209">
        <v>150</v>
      </c>
      <c r="K209" s="14">
        <v>43934</v>
      </c>
      <c r="L209" s="15">
        <v>0.15972222222222224</v>
      </c>
      <c r="M209" s="13" t="s">
        <v>10</v>
      </c>
      <c r="N209" s="13">
        <v>5.37</v>
      </c>
      <c r="O209" s="13">
        <v>800</v>
      </c>
      <c r="Q209" s="18">
        <v>44189</v>
      </c>
      <c r="R209" s="19">
        <v>0.73958333333333337</v>
      </c>
      <c r="S209" s="17" t="s">
        <v>19</v>
      </c>
      <c r="T209" s="17">
        <v>0.87</v>
      </c>
      <c r="U209" s="17">
        <v>60</v>
      </c>
    </row>
    <row r="210" spans="5:21" x14ac:dyDescent="0.25">
      <c r="E210" s="10">
        <v>43972</v>
      </c>
      <c r="F210" s="11">
        <v>0.53125</v>
      </c>
      <c r="G210" t="s">
        <v>19</v>
      </c>
      <c r="H210">
        <v>0.25</v>
      </c>
      <c r="I210">
        <v>25</v>
      </c>
      <c r="K210" s="14">
        <v>43934</v>
      </c>
      <c r="L210" s="15">
        <v>8.4027777777777771E-2</v>
      </c>
      <c r="M210" s="13" t="s">
        <v>10</v>
      </c>
      <c r="N210" s="13">
        <v>0.68</v>
      </c>
      <c r="O210" s="13">
        <v>30</v>
      </c>
      <c r="Q210" s="18">
        <v>43966</v>
      </c>
      <c r="R210" s="19">
        <v>0.77222222222222225</v>
      </c>
      <c r="S210" s="17" t="s">
        <v>33</v>
      </c>
      <c r="T210" s="17">
        <v>0.3</v>
      </c>
      <c r="U210" s="17">
        <v>50</v>
      </c>
    </row>
    <row r="211" spans="5:21" x14ac:dyDescent="0.25">
      <c r="E211" s="10">
        <v>43975</v>
      </c>
      <c r="F211" s="11">
        <v>0.97916666666666663</v>
      </c>
      <c r="G211" t="s">
        <v>19</v>
      </c>
      <c r="H211">
        <v>4.83</v>
      </c>
      <c r="I211">
        <v>40</v>
      </c>
      <c r="K211" s="14">
        <v>43934</v>
      </c>
      <c r="L211" s="15">
        <v>0.13958333333333334</v>
      </c>
      <c r="M211" s="13" t="s">
        <v>10</v>
      </c>
      <c r="N211" s="13">
        <v>37.880000000000003</v>
      </c>
      <c r="O211" s="13">
        <v>800</v>
      </c>
      <c r="Q211" s="18">
        <v>43989</v>
      </c>
      <c r="R211" s="19">
        <v>0.69513888888888886</v>
      </c>
      <c r="S211" s="17" t="s">
        <v>19</v>
      </c>
      <c r="T211" s="17">
        <v>0.5</v>
      </c>
      <c r="U211" s="17">
        <v>20</v>
      </c>
    </row>
    <row r="212" spans="5:21" x14ac:dyDescent="0.25">
      <c r="E212" s="10">
        <v>43983</v>
      </c>
      <c r="F212" s="11">
        <v>0.65208333333333335</v>
      </c>
      <c r="G212" t="s">
        <v>19</v>
      </c>
      <c r="H212">
        <v>0.62</v>
      </c>
      <c r="I212">
        <v>75</v>
      </c>
      <c r="K212" s="14">
        <v>43934</v>
      </c>
      <c r="L212" s="15">
        <v>0.26944444444444443</v>
      </c>
      <c r="M212" s="13" t="s">
        <v>10</v>
      </c>
      <c r="N212" s="13">
        <v>1.25</v>
      </c>
      <c r="O212" s="13">
        <v>120</v>
      </c>
      <c r="Q212" s="18">
        <v>43861</v>
      </c>
      <c r="R212" s="19">
        <v>0.89930555555555547</v>
      </c>
      <c r="S212" s="17" t="s">
        <v>19</v>
      </c>
      <c r="T212" s="17">
        <v>4.68</v>
      </c>
      <c r="U212" s="17">
        <v>50</v>
      </c>
    </row>
    <row r="213" spans="5:21" x14ac:dyDescent="0.25">
      <c r="E213" s="10">
        <v>43988</v>
      </c>
      <c r="F213" s="11">
        <v>0.72222222222222221</v>
      </c>
      <c r="G213" t="s">
        <v>19</v>
      </c>
      <c r="H213">
        <v>5.12</v>
      </c>
      <c r="I213">
        <v>500</v>
      </c>
      <c r="K213" s="14">
        <v>43934</v>
      </c>
      <c r="L213" s="15">
        <v>7.2222222222222229E-2</v>
      </c>
      <c r="M213" s="13" t="s">
        <v>10</v>
      </c>
      <c r="N213" s="13">
        <v>7.42</v>
      </c>
      <c r="O213" s="13">
        <v>70</v>
      </c>
      <c r="Q213" s="18">
        <v>43840</v>
      </c>
      <c r="R213" s="19">
        <v>0.63888888888888895</v>
      </c>
      <c r="S213" s="17" t="s">
        <v>17</v>
      </c>
      <c r="T213" s="17">
        <v>1.57</v>
      </c>
      <c r="U213" s="17">
        <v>100</v>
      </c>
    </row>
    <row r="214" spans="5:21" x14ac:dyDescent="0.25">
      <c r="E214" s="10">
        <v>43988</v>
      </c>
      <c r="F214" s="11">
        <v>0.76874999999999993</v>
      </c>
      <c r="G214" t="s">
        <v>19</v>
      </c>
      <c r="H214">
        <v>2</v>
      </c>
      <c r="I214">
        <v>200</v>
      </c>
      <c r="K214" s="14">
        <v>43934</v>
      </c>
      <c r="L214" s="15">
        <v>0.18402777777777779</v>
      </c>
      <c r="M214" s="13" t="s">
        <v>10</v>
      </c>
      <c r="N214" s="13">
        <v>10.23</v>
      </c>
      <c r="O214" s="13">
        <v>700</v>
      </c>
      <c r="Q214" s="18">
        <v>44028</v>
      </c>
      <c r="R214" s="19">
        <v>0.59375</v>
      </c>
      <c r="S214" s="17" t="s">
        <v>36</v>
      </c>
      <c r="T214" s="17">
        <v>1.75</v>
      </c>
      <c r="U214" s="17">
        <v>50</v>
      </c>
    </row>
    <row r="215" spans="5:21" x14ac:dyDescent="0.25">
      <c r="E215" s="10">
        <v>43988</v>
      </c>
      <c r="F215" s="11">
        <v>0.66597222222222219</v>
      </c>
      <c r="G215" t="s">
        <v>19</v>
      </c>
      <c r="H215">
        <v>0.91</v>
      </c>
      <c r="I215">
        <v>75</v>
      </c>
      <c r="K215" s="14">
        <v>43934</v>
      </c>
      <c r="L215" s="15">
        <v>0.26041666666666669</v>
      </c>
      <c r="M215" s="13" t="s">
        <v>10</v>
      </c>
      <c r="N215" s="13">
        <v>1.1599999999999999</v>
      </c>
      <c r="O215" s="13">
        <v>140</v>
      </c>
      <c r="Q215" s="18">
        <v>43841</v>
      </c>
      <c r="R215" s="19">
        <v>0.88263888888888886</v>
      </c>
      <c r="S215" s="17" t="s">
        <v>27</v>
      </c>
      <c r="T215" s="17">
        <v>3.1</v>
      </c>
      <c r="U215" s="17">
        <v>350</v>
      </c>
    </row>
    <row r="216" spans="5:21" x14ac:dyDescent="0.25">
      <c r="E216" s="10">
        <v>43988</v>
      </c>
      <c r="F216" s="11">
        <v>0.68055555555555547</v>
      </c>
      <c r="G216" t="s">
        <v>19</v>
      </c>
      <c r="H216">
        <v>0.51</v>
      </c>
      <c r="I216">
        <v>75</v>
      </c>
      <c r="K216" s="14">
        <v>43934</v>
      </c>
      <c r="L216" s="15">
        <v>0.27499999999999997</v>
      </c>
      <c r="M216" s="13" t="s">
        <v>10</v>
      </c>
      <c r="N216" s="13">
        <v>4.5599999999999996</v>
      </c>
      <c r="O216" s="13">
        <v>50</v>
      </c>
      <c r="Q216" s="18">
        <v>43934</v>
      </c>
      <c r="R216" s="19">
        <v>5.5555555555555558E-3</v>
      </c>
      <c r="S216" s="17" t="s">
        <v>9</v>
      </c>
      <c r="T216" s="17">
        <v>2.94</v>
      </c>
      <c r="U216" s="17">
        <v>100</v>
      </c>
    </row>
    <row r="217" spans="5:21" x14ac:dyDescent="0.25">
      <c r="E217" s="10">
        <v>43988</v>
      </c>
      <c r="F217" s="11">
        <v>0.66180555555555554</v>
      </c>
      <c r="G217" t="s">
        <v>19</v>
      </c>
      <c r="H217">
        <v>0.25</v>
      </c>
      <c r="I217">
        <v>75</v>
      </c>
      <c r="K217" s="14">
        <v>43934</v>
      </c>
      <c r="L217" s="15">
        <v>7.013888888888889E-2</v>
      </c>
      <c r="M217" s="13" t="s">
        <v>10</v>
      </c>
      <c r="N217" s="13">
        <v>7.97</v>
      </c>
      <c r="O217" s="13">
        <v>200</v>
      </c>
      <c r="Q217" s="18">
        <v>43972</v>
      </c>
      <c r="R217" s="19">
        <v>0.6118055555555556</v>
      </c>
      <c r="S217" s="17" t="s">
        <v>12</v>
      </c>
      <c r="T217" s="17">
        <v>7.0000000000000007E-2</v>
      </c>
      <c r="U217" s="17">
        <v>30</v>
      </c>
    </row>
    <row r="218" spans="5:21" x14ac:dyDescent="0.25">
      <c r="E218" s="10">
        <v>43988</v>
      </c>
      <c r="F218" s="11">
        <v>0.69444444444444453</v>
      </c>
      <c r="G218" t="s">
        <v>19</v>
      </c>
      <c r="H218">
        <v>0.01</v>
      </c>
      <c r="I218">
        <v>20</v>
      </c>
      <c r="K218" s="14">
        <v>43934</v>
      </c>
      <c r="L218" s="15">
        <v>0.17013888888888887</v>
      </c>
      <c r="M218" s="13" t="s">
        <v>10</v>
      </c>
      <c r="N218" s="13">
        <v>0.91</v>
      </c>
      <c r="O218" s="13">
        <v>200</v>
      </c>
      <c r="Q218" s="18">
        <v>44057</v>
      </c>
      <c r="R218" s="19">
        <v>0.69166666666666676</v>
      </c>
      <c r="S218" s="17" t="s">
        <v>28</v>
      </c>
      <c r="T218" s="17">
        <v>1.23</v>
      </c>
      <c r="U218" s="17">
        <v>35</v>
      </c>
    </row>
    <row r="219" spans="5:21" x14ac:dyDescent="0.25">
      <c r="E219" s="10">
        <v>43988</v>
      </c>
      <c r="F219" s="11">
        <v>0.67152777777777783</v>
      </c>
      <c r="G219" t="s">
        <v>19</v>
      </c>
      <c r="H219">
        <v>0.01</v>
      </c>
      <c r="I219">
        <v>10</v>
      </c>
      <c r="K219" s="14">
        <v>43934</v>
      </c>
      <c r="L219" s="15">
        <v>0.1986111111111111</v>
      </c>
      <c r="M219" s="13" t="s">
        <v>10</v>
      </c>
      <c r="N219" s="13">
        <v>3.14</v>
      </c>
      <c r="O219" s="13">
        <v>100</v>
      </c>
      <c r="Q219" s="18">
        <v>44047</v>
      </c>
      <c r="R219" s="19">
        <v>0.36805555555555558</v>
      </c>
      <c r="S219" s="17" t="s">
        <v>37</v>
      </c>
      <c r="T219" s="17">
        <v>3.32</v>
      </c>
      <c r="U219" s="17">
        <v>100</v>
      </c>
    </row>
    <row r="220" spans="5:21" x14ac:dyDescent="0.25">
      <c r="E220" s="10">
        <v>43989</v>
      </c>
      <c r="F220" s="11">
        <v>0.5625</v>
      </c>
      <c r="G220" t="s">
        <v>19</v>
      </c>
      <c r="H220">
        <v>1.43</v>
      </c>
      <c r="I220">
        <v>100</v>
      </c>
      <c r="K220" s="14">
        <v>43934</v>
      </c>
      <c r="L220" s="15">
        <v>0.2590277777777778</v>
      </c>
      <c r="M220" s="13" t="s">
        <v>10</v>
      </c>
      <c r="N220" s="13">
        <v>4.76</v>
      </c>
      <c r="O220" s="13">
        <v>40</v>
      </c>
      <c r="Q220" s="18">
        <v>44020</v>
      </c>
      <c r="R220" s="19">
        <v>0.74305555555555547</v>
      </c>
      <c r="S220" s="17" t="s">
        <v>28</v>
      </c>
      <c r="T220" s="17">
        <v>0.1</v>
      </c>
      <c r="U220" s="17">
        <v>10</v>
      </c>
    </row>
    <row r="221" spans="5:21" x14ac:dyDescent="0.25">
      <c r="E221" s="10">
        <v>43989</v>
      </c>
      <c r="F221" s="11">
        <v>0.69513888888888886</v>
      </c>
      <c r="G221" t="s">
        <v>19</v>
      </c>
      <c r="H221">
        <v>0.5</v>
      </c>
      <c r="I221">
        <v>20</v>
      </c>
      <c r="K221" s="14">
        <v>43934</v>
      </c>
      <c r="L221" s="15">
        <v>0.19930555555555554</v>
      </c>
      <c r="M221" s="13" t="s">
        <v>10</v>
      </c>
      <c r="N221" s="13">
        <v>17.329999999999998</v>
      </c>
      <c r="O221" s="13">
        <v>500</v>
      </c>
      <c r="Q221" s="18">
        <v>44145</v>
      </c>
      <c r="R221" s="19">
        <v>0.69374999999999998</v>
      </c>
      <c r="S221" s="17" t="s">
        <v>15</v>
      </c>
      <c r="T221" s="17">
        <v>3.72</v>
      </c>
      <c r="U221" s="17">
        <v>50</v>
      </c>
    </row>
    <row r="222" spans="5:21" x14ac:dyDescent="0.25">
      <c r="E222" s="10">
        <v>43989</v>
      </c>
      <c r="F222" s="11">
        <v>0.56944444444444442</v>
      </c>
      <c r="G222" t="s">
        <v>19</v>
      </c>
      <c r="H222">
        <v>0.01</v>
      </c>
      <c r="I222">
        <v>25</v>
      </c>
      <c r="K222" s="14">
        <v>43934</v>
      </c>
      <c r="L222" s="15">
        <v>0.23472222222222219</v>
      </c>
      <c r="M222" s="13" t="s">
        <v>10</v>
      </c>
      <c r="N222" s="13">
        <v>5.74</v>
      </c>
      <c r="O222" s="13">
        <v>400</v>
      </c>
      <c r="Q222" s="18">
        <v>43928</v>
      </c>
      <c r="R222" s="19">
        <v>0.97013888888888899</v>
      </c>
      <c r="S222" s="17" t="s">
        <v>34</v>
      </c>
      <c r="T222" s="17">
        <v>0.15</v>
      </c>
      <c r="U222" s="17">
        <v>75</v>
      </c>
    </row>
    <row r="223" spans="5:21" x14ac:dyDescent="0.25">
      <c r="E223" s="10">
        <v>43989</v>
      </c>
      <c r="F223" s="11">
        <v>0.58680555555555558</v>
      </c>
      <c r="G223" t="s">
        <v>19</v>
      </c>
      <c r="H223">
        <v>0.01</v>
      </c>
      <c r="I223">
        <v>25</v>
      </c>
      <c r="K223" s="14">
        <v>43934</v>
      </c>
      <c r="L223" s="15">
        <v>0.14791666666666667</v>
      </c>
      <c r="M223" s="13" t="s">
        <v>10</v>
      </c>
      <c r="N223" s="13">
        <v>8.49</v>
      </c>
      <c r="O223" s="13">
        <v>50</v>
      </c>
      <c r="Q223" s="18">
        <v>43892</v>
      </c>
      <c r="R223" s="19">
        <v>0.98749999999999993</v>
      </c>
      <c r="S223" s="17" t="s">
        <v>21</v>
      </c>
      <c r="T223" s="17">
        <v>4.8</v>
      </c>
      <c r="U223" s="17">
        <v>50</v>
      </c>
    </row>
    <row r="224" spans="5:21" x14ac:dyDescent="0.25">
      <c r="E224" s="10">
        <v>44008</v>
      </c>
      <c r="F224" s="11">
        <v>0.73958333333333337</v>
      </c>
      <c r="G224" t="s">
        <v>19</v>
      </c>
      <c r="H224">
        <v>0.4</v>
      </c>
      <c r="I224">
        <v>75</v>
      </c>
      <c r="K224" s="14">
        <v>43934</v>
      </c>
      <c r="L224" s="15">
        <v>5.6250000000000001E-2</v>
      </c>
      <c r="M224" s="13" t="s">
        <v>10</v>
      </c>
      <c r="N224" s="13">
        <v>16.71</v>
      </c>
      <c r="O224" s="13">
        <v>1000</v>
      </c>
      <c r="Q224" s="18">
        <v>43988</v>
      </c>
      <c r="R224" s="19">
        <v>0.66597222222222219</v>
      </c>
      <c r="S224" s="17" t="s">
        <v>19</v>
      </c>
      <c r="T224" s="17">
        <v>0.91</v>
      </c>
      <c r="U224" s="17">
        <v>75</v>
      </c>
    </row>
    <row r="225" spans="5:21" x14ac:dyDescent="0.25">
      <c r="E225" s="10">
        <v>44026</v>
      </c>
      <c r="F225" s="11">
        <v>0.69791666666666663</v>
      </c>
      <c r="G225" t="s">
        <v>19</v>
      </c>
      <c r="H225">
        <v>0.25</v>
      </c>
      <c r="I225">
        <v>25</v>
      </c>
      <c r="K225" s="14">
        <v>43934</v>
      </c>
      <c r="L225" s="15">
        <v>0.25</v>
      </c>
      <c r="M225" s="13" t="s">
        <v>10</v>
      </c>
      <c r="N225" s="13">
        <v>2.5</v>
      </c>
      <c r="O225" s="13">
        <v>400</v>
      </c>
      <c r="Q225" s="18">
        <v>43918</v>
      </c>
      <c r="R225" s="19">
        <v>0.66527777777777775</v>
      </c>
      <c r="S225" s="17" t="s">
        <v>29</v>
      </c>
      <c r="T225" s="17">
        <v>12.53</v>
      </c>
      <c r="U225" s="17">
        <v>600</v>
      </c>
    </row>
    <row r="226" spans="5:21" x14ac:dyDescent="0.25">
      <c r="E226" s="10">
        <v>44028</v>
      </c>
      <c r="F226" s="11">
        <v>0.67013888888888884</v>
      </c>
      <c r="G226" t="s">
        <v>19</v>
      </c>
      <c r="H226">
        <v>0.16</v>
      </c>
      <c r="I226">
        <v>75</v>
      </c>
      <c r="K226" s="14">
        <v>43934</v>
      </c>
      <c r="L226" s="15">
        <v>0.15486111111111112</v>
      </c>
      <c r="M226" s="13" t="s">
        <v>10</v>
      </c>
      <c r="N226" s="13">
        <v>35.68</v>
      </c>
      <c r="O226" s="13">
        <v>770</v>
      </c>
      <c r="Q226" s="18">
        <v>44010</v>
      </c>
      <c r="R226" s="19">
        <v>0.81736111111111109</v>
      </c>
      <c r="S226" s="17" t="s">
        <v>8</v>
      </c>
      <c r="T226" s="17">
        <v>0.72</v>
      </c>
      <c r="U226" s="17">
        <v>25</v>
      </c>
    </row>
    <row r="227" spans="5:21" x14ac:dyDescent="0.25">
      <c r="E227" s="10">
        <v>44052</v>
      </c>
      <c r="F227" s="11">
        <v>0.67708333333333337</v>
      </c>
      <c r="G227" t="s">
        <v>19</v>
      </c>
      <c r="H227">
        <v>0.17</v>
      </c>
      <c r="I227">
        <v>100</v>
      </c>
      <c r="K227" s="14">
        <v>43934</v>
      </c>
      <c r="L227" s="15">
        <v>0.16944444444444443</v>
      </c>
      <c r="M227" s="13" t="s">
        <v>10</v>
      </c>
      <c r="N227" s="13">
        <v>5.85</v>
      </c>
      <c r="O227" s="13">
        <v>300</v>
      </c>
      <c r="Q227" s="18">
        <v>44179</v>
      </c>
      <c r="R227" s="19">
        <v>4.3055555555555562E-2</v>
      </c>
      <c r="S227" s="17" t="s">
        <v>20</v>
      </c>
      <c r="T227" s="17">
        <v>4.8</v>
      </c>
      <c r="U227" s="17">
        <v>350</v>
      </c>
    </row>
    <row r="228" spans="5:21" x14ac:dyDescent="0.25">
      <c r="E228" s="10">
        <v>44059</v>
      </c>
      <c r="F228" s="11">
        <v>0.6166666666666667</v>
      </c>
      <c r="G228" t="s">
        <v>19</v>
      </c>
      <c r="H228">
        <v>0.43</v>
      </c>
      <c r="I228">
        <v>15</v>
      </c>
      <c r="K228" s="14">
        <v>43934</v>
      </c>
      <c r="L228" s="15">
        <v>0.24374999999999999</v>
      </c>
      <c r="M228" s="13" t="s">
        <v>10</v>
      </c>
      <c r="N228" s="13">
        <v>0.93</v>
      </c>
      <c r="O228" s="13">
        <v>200</v>
      </c>
      <c r="Q228" s="18">
        <v>43933</v>
      </c>
      <c r="R228" s="19">
        <v>0.51527777777777783</v>
      </c>
      <c r="S228" s="17" t="s">
        <v>24</v>
      </c>
      <c r="T228" s="17">
        <v>7.38</v>
      </c>
      <c r="U228" s="17">
        <v>250</v>
      </c>
    </row>
    <row r="229" spans="5:21" x14ac:dyDescent="0.25">
      <c r="E229" s="10">
        <v>44061</v>
      </c>
      <c r="F229" s="11">
        <v>0.57500000000000007</v>
      </c>
      <c r="G229" t="s">
        <v>19</v>
      </c>
      <c r="H229">
        <v>4.59</v>
      </c>
      <c r="I229">
        <v>550</v>
      </c>
      <c r="K229" s="14">
        <v>43934</v>
      </c>
      <c r="L229" s="15">
        <v>0.16180555555555556</v>
      </c>
      <c r="M229" s="13" t="s">
        <v>10</v>
      </c>
      <c r="N229" s="13">
        <v>4.8899999999999997</v>
      </c>
      <c r="O229" s="13">
        <v>80</v>
      </c>
      <c r="Q229" s="18">
        <v>43841</v>
      </c>
      <c r="R229" s="19">
        <v>0.8979166666666667</v>
      </c>
      <c r="S229" s="17" t="s">
        <v>10</v>
      </c>
      <c r="T229" s="17">
        <v>0.55000000000000004</v>
      </c>
      <c r="U229" s="17">
        <v>150</v>
      </c>
    </row>
    <row r="230" spans="5:21" x14ac:dyDescent="0.25">
      <c r="E230" s="10">
        <v>44061</v>
      </c>
      <c r="F230" s="11">
        <v>0.57500000000000007</v>
      </c>
      <c r="G230" t="s">
        <v>19</v>
      </c>
      <c r="H230">
        <v>0.05</v>
      </c>
      <c r="I230">
        <v>70</v>
      </c>
      <c r="K230" s="14">
        <v>43934</v>
      </c>
      <c r="L230" s="15">
        <v>0.21527777777777779</v>
      </c>
      <c r="M230" s="13" t="s">
        <v>10</v>
      </c>
      <c r="N230" s="13">
        <v>2.29</v>
      </c>
      <c r="O230" s="13">
        <v>150</v>
      </c>
      <c r="Q230" s="18">
        <v>44057</v>
      </c>
      <c r="R230" s="19">
        <v>0.7006944444444444</v>
      </c>
      <c r="S230" s="17" t="s">
        <v>8</v>
      </c>
      <c r="T230" s="17">
        <v>3.5</v>
      </c>
      <c r="U230" s="17">
        <v>50</v>
      </c>
    </row>
    <row r="231" spans="5:21" x14ac:dyDescent="0.25">
      <c r="E231" s="10">
        <v>44062</v>
      </c>
      <c r="F231" s="11">
        <v>0.51388888888888895</v>
      </c>
      <c r="G231" t="s">
        <v>19</v>
      </c>
      <c r="H231">
        <v>0.5</v>
      </c>
      <c r="I231">
        <v>160</v>
      </c>
      <c r="K231" s="14">
        <v>43946</v>
      </c>
      <c r="L231" s="15">
        <v>0.79861111111111116</v>
      </c>
      <c r="M231" s="13" t="s">
        <v>10</v>
      </c>
      <c r="N231" s="13">
        <v>5.47</v>
      </c>
      <c r="O231" s="13">
        <v>400</v>
      </c>
      <c r="Q231" s="18">
        <v>44091</v>
      </c>
      <c r="R231" s="19">
        <v>0.38472222222222219</v>
      </c>
      <c r="S231" s="17" t="s">
        <v>10</v>
      </c>
      <c r="T231" s="17">
        <v>0.6</v>
      </c>
      <c r="U231" s="17">
        <v>25</v>
      </c>
    </row>
    <row r="232" spans="5:21" x14ac:dyDescent="0.25">
      <c r="E232" s="10">
        <v>44090</v>
      </c>
      <c r="F232" s="11">
        <v>0.28680555555555554</v>
      </c>
      <c r="G232" t="s">
        <v>19</v>
      </c>
      <c r="H232">
        <v>9.92</v>
      </c>
      <c r="I232">
        <v>50</v>
      </c>
      <c r="K232" s="14">
        <v>43950</v>
      </c>
      <c r="L232" s="15">
        <v>0.6791666666666667</v>
      </c>
      <c r="M232" s="13" t="s">
        <v>10</v>
      </c>
      <c r="N232" s="13">
        <v>0.57999999999999996</v>
      </c>
      <c r="O232" s="13">
        <v>30</v>
      </c>
      <c r="Q232" s="18">
        <v>44053</v>
      </c>
      <c r="R232" s="19">
        <v>0.4375</v>
      </c>
      <c r="S232" s="17" t="s">
        <v>23</v>
      </c>
      <c r="T232" s="17">
        <v>1.03</v>
      </c>
      <c r="U232" s="17">
        <v>50</v>
      </c>
    </row>
    <row r="233" spans="5:21" x14ac:dyDescent="0.25">
      <c r="E233" s="10">
        <v>44146</v>
      </c>
      <c r="F233" s="11">
        <v>0.47083333333333338</v>
      </c>
      <c r="G233" t="s">
        <v>19</v>
      </c>
      <c r="H233">
        <v>0.36</v>
      </c>
      <c r="I233">
        <v>100</v>
      </c>
      <c r="K233" s="14">
        <v>43956</v>
      </c>
      <c r="L233" s="15">
        <v>0.68888888888888899</v>
      </c>
      <c r="M233" s="13" t="s">
        <v>10</v>
      </c>
      <c r="N233" s="13">
        <v>4.57</v>
      </c>
      <c r="O233" s="13">
        <v>100</v>
      </c>
      <c r="Q233" s="18">
        <v>43934</v>
      </c>
      <c r="R233" s="19">
        <v>0.30833333333333335</v>
      </c>
      <c r="S233" s="17" t="s">
        <v>14</v>
      </c>
      <c r="T233" s="17">
        <v>1.49</v>
      </c>
      <c r="U233" s="17">
        <v>30</v>
      </c>
    </row>
    <row r="234" spans="5:21" x14ac:dyDescent="0.25">
      <c r="E234" s="10">
        <v>44165</v>
      </c>
      <c r="F234" s="11">
        <v>0.20833333333333334</v>
      </c>
      <c r="G234" t="s">
        <v>19</v>
      </c>
      <c r="H234">
        <v>12.45</v>
      </c>
      <c r="I234">
        <v>50</v>
      </c>
      <c r="K234" s="14">
        <v>43956</v>
      </c>
      <c r="L234" s="15">
        <v>0.69861111111111107</v>
      </c>
      <c r="M234" s="13" t="s">
        <v>10</v>
      </c>
      <c r="N234" s="13">
        <v>13.98</v>
      </c>
      <c r="O234" s="13">
        <v>200</v>
      </c>
      <c r="Q234" s="18">
        <v>44047</v>
      </c>
      <c r="R234" s="19">
        <v>0.23263888888888887</v>
      </c>
      <c r="S234" s="17" t="s">
        <v>18</v>
      </c>
      <c r="T234" s="17">
        <v>8</v>
      </c>
      <c r="U234" s="17">
        <v>75</v>
      </c>
    </row>
    <row r="235" spans="5:21" x14ac:dyDescent="0.25">
      <c r="E235" s="10">
        <v>44165</v>
      </c>
      <c r="F235" s="11">
        <v>9.0277777777777776E-2</v>
      </c>
      <c r="G235" t="s">
        <v>19</v>
      </c>
      <c r="H235">
        <v>5.52</v>
      </c>
      <c r="I235">
        <v>475</v>
      </c>
      <c r="K235" s="14">
        <v>43971</v>
      </c>
      <c r="L235" s="15">
        <v>0.40763888888888888</v>
      </c>
      <c r="M235" s="13" t="s">
        <v>10</v>
      </c>
      <c r="N235" s="13">
        <v>0.77</v>
      </c>
      <c r="O235" s="13">
        <v>300</v>
      </c>
      <c r="Q235" s="18">
        <v>43914</v>
      </c>
      <c r="R235" s="19">
        <v>0.68541666666666667</v>
      </c>
      <c r="S235" s="17" t="s">
        <v>24</v>
      </c>
      <c r="T235" s="17">
        <v>8.7200000000000006</v>
      </c>
      <c r="U235" s="17">
        <v>400</v>
      </c>
    </row>
    <row r="236" spans="5:21" x14ac:dyDescent="0.25">
      <c r="E236" s="10">
        <v>44181</v>
      </c>
      <c r="F236" s="11">
        <v>0.61736111111111114</v>
      </c>
      <c r="G236" t="s">
        <v>19</v>
      </c>
      <c r="H236">
        <v>13.11</v>
      </c>
      <c r="I236">
        <v>300</v>
      </c>
      <c r="K236" s="14">
        <v>43973</v>
      </c>
      <c r="L236" s="15">
        <v>0.56111111111111112</v>
      </c>
      <c r="M236" s="13" t="s">
        <v>10</v>
      </c>
      <c r="N236" s="13">
        <v>12.74</v>
      </c>
      <c r="O236" s="13">
        <v>200</v>
      </c>
      <c r="Q236" s="18">
        <v>44071</v>
      </c>
      <c r="R236" s="19">
        <v>0.68611111111111101</v>
      </c>
      <c r="S236" s="17" t="s">
        <v>21</v>
      </c>
      <c r="T236" s="17">
        <v>1.53</v>
      </c>
      <c r="U236" s="17">
        <v>65</v>
      </c>
    </row>
    <row r="237" spans="5:21" x14ac:dyDescent="0.25">
      <c r="E237" s="10">
        <v>44181</v>
      </c>
      <c r="F237" s="11">
        <v>0.66180555555555554</v>
      </c>
      <c r="G237" t="s">
        <v>19</v>
      </c>
      <c r="H237">
        <v>12.93</v>
      </c>
      <c r="I237">
        <v>250</v>
      </c>
      <c r="K237" s="14">
        <v>43992</v>
      </c>
      <c r="L237" s="15">
        <v>0.77013888888888893</v>
      </c>
      <c r="M237" s="13" t="s">
        <v>10</v>
      </c>
      <c r="N237" s="13">
        <v>0.41</v>
      </c>
      <c r="O237" s="13">
        <v>30</v>
      </c>
      <c r="Q237" s="18">
        <v>44047</v>
      </c>
      <c r="R237" s="19">
        <v>0.18888888888888888</v>
      </c>
      <c r="S237" s="17" t="s">
        <v>18</v>
      </c>
      <c r="T237" s="17">
        <v>5.24</v>
      </c>
      <c r="U237" s="17">
        <v>100</v>
      </c>
    </row>
    <row r="238" spans="5:21" x14ac:dyDescent="0.25">
      <c r="E238" s="10">
        <v>44189</v>
      </c>
      <c r="F238" s="11">
        <v>0.71944444444444444</v>
      </c>
      <c r="G238" t="s">
        <v>19</v>
      </c>
      <c r="H238">
        <v>4.12</v>
      </c>
      <c r="I238">
        <v>100</v>
      </c>
      <c r="K238" s="14">
        <v>44046</v>
      </c>
      <c r="L238" s="15">
        <v>0.76388888888888884</v>
      </c>
      <c r="M238" s="13" t="s">
        <v>10</v>
      </c>
      <c r="N238" s="13">
        <v>0.2</v>
      </c>
      <c r="O238" s="13">
        <v>30</v>
      </c>
      <c r="Q238" s="18">
        <v>43866</v>
      </c>
      <c r="R238" s="19">
        <v>0.69861111111111107</v>
      </c>
      <c r="S238" s="17" t="s">
        <v>24</v>
      </c>
      <c r="T238" s="17">
        <v>1.66</v>
      </c>
      <c r="U238" s="17">
        <v>300</v>
      </c>
    </row>
    <row r="239" spans="5:21" x14ac:dyDescent="0.25">
      <c r="E239" s="10">
        <v>44189</v>
      </c>
      <c r="F239" s="11">
        <v>0.73958333333333337</v>
      </c>
      <c r="G239" t="s">
        <v>19</v>
      </c>
      <c r="H239">
        <v>0.87</v>
      </c>
      <c r="I239">
        <v>60</v>
      </c>
      <c r="K239" s="14">
        <v>44091</v>
      </c>
      <c r="L239" s="15">
        <v>0.38472222222222219</v>
      </c>
      <c r="M239" s="13" t="s">
        <v>10</v>
      </c>
      <c r="N239" s="13">
        <v>0.6</v>
      </c>
      <c r="O239" s="13">
        <v>25</v>
      </c>
      <c r="Q239" s="18">
        <v>44052</v>
      </c>
      <c r="R239" s="19">
        <v>0.55069444444444449</v>
      </c>
      <c r="S239" s="17" t="s">
        <v>8</v>
      </c>
      <c r="T239" s="17">
        <v>22</v>
      </c>
      <c r="U239" s="17">
        <v>200</v>
      </c>
    </row>
    <row r="240" spans="5:21" x14ac:dyDescent="0.25">
      <c r="E240" s="10">
        <v>44189</v>
      </c>
      <c r="F240" s="11">
        <v>0.74583333333333324</v>
      </c>
      <c r="G240" t="s">
        <v>19</v>
      </c>
      <c r="H240">
        <v>0.6</v>
      </c>
      <c r="I240">
        <v>100</v>
      </c>
      <c r="K240" s="14">
        <v>44091</v>
      </c>
      <c r="L240" s="15">
        <v>0.32569444444444445</v>
      </c>
      <c r="M240" s="13" t="s">
        <v>10</v>
      </c>
      <c r="N240" s="13">
        <v>0.23</v>
      </c>
      <c r="O240" s="13">
        <v>100</v>
      </c>
      <c r="Q240" s="18">
        <v>44020</v>
      </c>
      <c r="R240" s="19">
        <v>0.75694444444444453</v>
      </c>
      <c r="S240" s="17" t="s">
        <v>7</v>
      </c>
      <c r="T240" s="17">
        <v>0.01</v>
      </c>
      <c r="U240" s="17">
        <v>50</v>
      </c>
    </row>
    <row r="241" spans="5:21" x14ac:dyDescent="0.25">
      <c r="E241" s="10">
        <v>43841</v>
      </c>
      <c r="F241" s="11">
        <v>0.66111111111111109</v>
      </c>
      <c r="G241" t="s">
        <v>9</v>
      </c>
      <c r="H241">
        <v>3.86</v>
      </c>
      <c r="I241">
        <v>400</v>
      </c>
      <c r="K241" s="14">
        <v>44091</v>
      </c>
      <c r="L241" s="15">
        <v>0.47152777777777777</v>
      </c>
      <c r="M241" s="13" t="s">
        <v>10</v>
      </c>
      <c r="N241" s="13">
        <v>6.26</v>
      </c>
      <c r="O241" s="13">
        <v>25</v>
      </c>
      <c r="Q241" s="18">
        <v>44159</v>
      </c>
      <c r="R241" s="19">
        <v>0.87083333333333324</v>
      </c>
      <c r="S241" s="17" t="s">
        <v>33</v>
      </c>
      <c r="T241" s="17">
        <v>3</v>
      </c>
      <c r="U241" s="17">
        <v>200</v>
      </c>
    </row>
    <row r="242" spans="5:21" x14ac:dyDescent="0.25">
      <c r="E242" s="10">
        <v>43841</v>
      </c>
      <c r="F242" s="11">
        <v>0.68333333333333324</v>
      </c>
      <c r="G242" t="s">
        <v>9</v>
      </c>
      <c r="H242">
        <v>3.05</v>
      </c>
      <c r="I242">
        <v>450</v>
      </c>
      <c r="K242" s="14">
        <v>44091</v>
      </c>
      <c r="L242" s="15">
        <v>0.24861111111111112</v>
      </c>
      <c r="M242" s="13" t="s">
        <v>10</v>
      </c>
      <c r="N242" s="13">
        <v>6.9</v>
      </c>
      <c r="O242" s="13">
        <v>150</v>
      </c>
      <c r="Q242" s="18">
        <v>43929</v>
      </c>
      <c r="R242" s="19">
        <v>0.87222222222222223</v>
      </c>
      <c r="S242" s="17" t="s">
        <v>27</v>
      </c>
      <c r="T242" s="17">
        <v>2.4</v>
      </c>
      <c r="U242" s="17">
        <v>50</v>
      </c>
    </row>
    <row r="243" spans="5:21" x14ac:dyDescent="0.25">
      <c r="E243" s="10">
        <v>43841</v>
      </c>
      <c r="F243" s="11">
        <v>0.70000000000000007</v>
      </c>
      <c r="G243" t="s">
        <v>9</v>
      </c>
      <c r="H243">
        <v>0.34</v>
      </c>
      <c r="I243">
        <v>100</v>
      </c>
      <c r="K243" s="14">
        <v>44091</v>
      </c>
      <c r="L243" s="15">
        <v>0.55625000000000002</v>
      </c>
      <c r="M243" s="13" t="s">
        <v>10</v>
      </c>
      <c r="N243" s="13">
        <v>2.2400000000000002</v>
      </c>
      <c r="O243" s="13">
        <v>20</v>
      </c>
      <c r="Q243" s="18">
        <v>43979</v>
      </c>
      <c r="R243" s="19">
        <v>0.63194444444444442</v>
      </c>
      <c r="S243" s="17" t="s">
        <v>15</v>
      </c>
      <c r="T243" s="17">
        <v>1.69</v>
      </c>
      <c r="U243" s="17">
        <v>25</v>
      </c>
    </row>
    <row r="244" spans="5:21" x14ac:dyDescent="0.25">
      <c r="E244" s="10">
        <v>43843</v>
      </c>
      <c r="F244" s="11">
        <v>0.95208333333333339</v>
      </c>
      <c r="G244" t="s">
        <v>9</v>
      </c>
      <c r="H244">
        <v>1.46</v>
      </c>
      <c r="I244">
        <v>100</v>
      </c>
      <c r="K244" s="14">
        <v>44091</v>
      </c>
      <c r="L244" s="15">
        <v>0.42083333333333334</v>
      </c>
      <c r="M244" s="13" t="s">
        <v>10</v>
      </c>
      <c r="N244" s="13">
        <v>1.01</v>
      </c>
      <c r="O244" s="13">
        <v>25</v>
      </c>
      <c r="Q244" s="18">
        <v>43974</v>
      </c>
      <c r="R244" s="19">
        <v>0.71250000000000002</v>
      </c>
      <c r="S244" s="17" t="s">
        <v>15</v>
      </c>
      <c r="T244" s="17">
        <v>3.2</v>
      </c>
      <c r="U244" s="17">
        <v>50</v>
      </c>
    </row>
    <row r="245" spans="5:21" x14ac:dyDescent="0.25">
      <c r="E245" s="10">
        <v>43843</v>
      </c>
      <c r="F245" s="11">
        <v>0.97222222222222221</v>
      </c>
      <c r="G245" t="s">
        <v>9</v>
      </c>
      <c r="H245">
        <v>0.28000000000000003</v>
      </c>
      <c r="I245">
        <v>50</v>
      </c>
      <c r="K245" s="14">
        <v>44091</v>
      </c>
      <c r="L245" s="15">
        <v>0.40486111111111112</v>
      </c>
      <c r="M245" s="13" t="s">
        <v>10</v>
      </c>
      <c r="N245" s="13">
        <v>5.88</v>
      </c>
      <c r="O245" s="13">
        <v>50</v>
      </c>
      <c r="Q245" s="18">
        <v>43929</v>
      </c>
      <c r="R245" s="19">
        <v>0.79513888888888884</v>
      </c>
      <c r="S245" s="17" t="s">
        <v>29</v>
      </c>
      <c r="T245" s="17">
        <v>9.33</v>
      </c>
      <c r="U245" s="17">
        <v>75</v>
      </c>
    </row>
    <row r="246" spans="5:21" x14ac:dyDescent="0.25">
      <c r="E246" s="10">
        <v>43867</v>
      </c>
      <c r="F246" s="11">
        <v>0.18611111111111112</v>
      </c>
      <c r="G246" t="s">
        <v>9</v>
      </c>
      <c r="H246">
        <v>2.2400000000000002</v>
      </c>
      <c r="I246">
        <v>200</v>
      </c>
      <c r="K246" s="14">
        <v>44091</v>
      </c>
      <c r="L246" s="15">
        <v>0.44791666666666669</v>
      </c>
      <c r="M246" s="13" t="s">
        <v>10</v>
      </c>
      <c r="N246" s="13">
        <v>0.32</v>
      </c>
      <c r="O246" s="13">
        <v>25</v>
      </c>
      <c r="Q246" s="18">
        <v>43921</v>
      </c>
      <c r="R246" s="19">
        <v>0.44027777777777777</v>
      </c>
      <c r="S246" s="17" t="s">
        <v>20</v>
      </c>
      <c r="T246" s="17">
        <v>29.97</v>
      </c>
      <c r="U246" s="17">
        <v>350</v>
      </c>
    </row>
    <row r="247" spans="5:21" x14ac:dyDescent="0.25">
      <c r="E247" s="10">
        <v>43867</v>
      </c>
      <c r="F247" s="11">
        <v>0.83680555555555547</v>
      </c>
      <c r="G247" t="s">
        <v>9</v>
      </c>
      <c r="H247">
        <v>0.18</v>
      </c>
      <c r="I247">
        <v>50</v>
      </c>
      <c r="K247" s="14">
        <v>44091</v>
      </c>
      <c r="L247" s="15">
        <v>0.30069444444444443</v>
      </c>
      <c r="M247" s="13" t="s">
        <v>10</v>
      </c>
      <c r="N247" s="13">
        <v>0.6</v>
      </c>
      <c r="O247" s="13">
        <v>150</v>
      </c>
      <c r="Q247" s="18">
        <v>43841</v>
      </c>
      <c r="R247" s="19">
        <v>0.15833333333333333</v>
      </c>
      <c r="S247" s="17" t="s">
        <v>24</v>
      </c>
      <c r="T247" s="17">
        <v>23.38</v>
      </c>
      <c r="U247" s="17">
        <v>1800</v>
      </c>
    </row>
    <row r="248" spans="5:21" x14ac:dyDescent="0.25">
      <c r="E248" s="10">
        <v>43921</v>
      </c>
      <c r="F248" s="11">
        <v>0.44861111111111113</v>
      </c>
      <c r="G248" t="s">
        <v>9</v>
      </c>
      <c r="H248">
        <v>22.12</v>
      </c>
      <c r="I248">
        <v>200</v>
      </c>
      <c r="K248" s="14">
        <v>44091</v>
      </c>
      <c r="L248" s="15">
        <v>0.53125</v>
      </c>
      <c r="M248" s="13" t="s">
        <v>10</v>
      </c>
      <c r="N248" s="13">
        <v>4.99</v>
      </c>
      <c r="O248" s="13">
        <v>25</v>
      </c>
      <c r="Q248" s="18">
        <v>43867</v>
      </c>
      <c r="R248" s="19">
        <v>0.57777777777777783</v>
      </c>
      <c r="S248" s="17" t="s">
        <v>10</v>
      </c>
      <c r="T248" s="17">
        <v>1.1399999999999999</v>
      </c>
      <c r="U248" s="17">
        <v>75</v>
      </c>
    </row>
    <row r="249" spans="5:21" x14ac:dyDescent="0.25">
      <c r="E249" s="10">
        <v>43929</v>
      </c>
      <c r="F249" s="11">
        <v>0.76527777777777783</v>
      </c>
      <c r="G249" t="s">
        <v>9</v>
      </c>
      <c r="H249">
        <v>4.41</v>
      </c>
      <c r="I249">
        <v>300</v>
      </c>
      <c r="K249" s="14">
        <v>44091</v>
      </c>
      <c r="L249" s="15">
        <v>0.24930555555555556</v>
      </c>
      <c r="M249" s="13" t="s">
        <v>10</v>
      </c>
      <c r="N249" s="13">
        <v>2.5</v>
      </c>
      <c r="O249" s="13">
        <v>100</v>
      </c>
      <c r="Q249" s="18">
        <v>43973</v>
      </c>
      <c r="R249" s="19">
        <v>0.56111111111111112</v>
      </c>
      <c r="S249" s="17" t="s">
        <v>10</v>
      </c>
      <c r="T249" s="17">
        <v>12.74</v>
      </c>
      <c r="U249" s="17">
        <v>200</v>
      </c>
    </row>
    <row r="250" spans="5:21" x14ac:dyDescent="0.25">
      <c r="E250" s="10">
        <v>43933</v>
      </c>
      <c r="F250" s="11">
        <v>0.88541666666666663</v>
      </c>
      <c r="G250" t="s">
        <v>9</v>
      </c>
      <c r="H250">
        <v>19.34</v>
      </c>
      <c r="I250">
        <v>1500</v>
      </c>
      <c r="K250" s="14">
        <v>44091</v>
      </c>
      <c r="L250" s="15">
        <v>0.34513888888888888</v>
      </c>
      <c r="M250" s="13" t="s">
        <v>10</v>
      </c>
      <c r="N250" s="13">
        <v>0.93</v>
      </c>
      <c r="O250" s="13">
        <v>100</v>
      </c>
      <c r="Q250" s="18">
        <v>43871</v>
      </c>
      <c r="R250" s="19">
        <v>0.86875000000000002</v>
      </c>
      <c r="S250" s="17" t="s">
        <v>24</v>
      </c>
      <c r="T250" s="17">
        <v>2.86</v>
      </c>
      <c r="U250" s="17">
        <v>300</v>
      </c>
    </row>
    <row r="251" spans="5:21" x14ac:dyDescent="0.25">
      <c r="E251" s="10">
        <v>43933</v>
      </c>
      <c r="F251" s="11">
        <v>0.76041666666666663</v>
      </c>
      <c r="G251" t="s">
        <v>9</v>
      </c>
      <c r="H251">
        <v>14.73</v>
      </c>
      <c r="I251">
        <v>800</v>
      </c>
      <c r="K251" s="14">
        <v>44099</v>
      </c>
      <c r="L251" s="15">
        <v>0.55833333333333335</v>
      </c>
      <c r="M251" s="13" t="s">
        <v>10</v>
      </c>
      <c r="N251" s="13">
        <v>0.19</v>
      </c>
      <c r="O251" s="13">
        <v>25</v>
      </c>
      <c r="Q251" s="18">
        <v>43974</v>
      </c>
      <c r="R251" s="19">
        <v>0.57847222222222217</v>
      </c>
      <c r="S251" s="17" t="s">
        <v>15</v>
      </c>
      <c r="T251" s="17">
        <v>6.3</v>
      </c>
      <c r="U251" s="17">
        <v>100</v>
      </c>
    </row>
    <row r="252" spans="5:21" x14ac:dyDescent="0.25">
      <c r="E252" s="10">
        <v>43933</v>
      </c>
      <c r="F252" s="11">
        <v>0.96250000000000002</v>
      </c>
      <c r="G252" t="s">
        <v>9</v>
      </c>
      <c r="H252">
        <v>12.76</v>
      </c>
      <c r="I252">
        <v>250</v>
      </c>
      <c r="K252" s="14">
        <v>44115</v>
      </c>
      <c r="L252" s="15">
        <v>0.60486111111111118</v>
      </c>
      <c r="M252" s="13" t="s">
        <v>10</v>
      </c>
      <c r="N252" s="13">
        <v>2.27</v>
      </c>
      <c r="O252" s="13">
        <v>20</v>
      </c>
      <c r="Q252" s="18">
        <v>43991</v>
      </c>
      <c r="R252" s="19">
        <v>0.7104166666666667</v>
      </c>
      <c r="S252" s="17" t="s">
        <v>28</v>
      </c>
      <c r="T252" s="17">
        <v>0.1</v>
      </c>
      <c r="U252" s="17">
        <v>1</v>
      </c>
    </row>
    <row r="253" spans="5:21" x14ac:dyDescent="0.25">
      <c r="E253" s="10">
        <v>43933</v>
      </c>
      <c r="F253" s="11">
        <v>0.82291666666666663</v>
      </c>
      <c r="G253" t="s">
        <v>9</v>
      </c>
      <c r="H253">
        <v>8.8800000000000008</v>
      </c>
      <c r="I253">
        <v>860</v>
      </c>
      <c r="K253" s="14">
        <v>44115</v>
      </c>
      <c r="L253" s="15">
        <v>0.59652777777777777</v>
      </c>
      <c r="M253" s="13" t="s">
        <v>10</v>
      </c>
      <c r="N253" s="13">
        <v>0.3</v>
      </c>
      <c r="O253" s="13">
        <v>30</v>
      </c>
      <c r="Q253" s="18">
        <v>43934</v>
      </c>
      <c r="R253" s="19">
        <v>0.15972222222222224</v>
      </c>
      <c r="S253" s="17" t="s">
        <v>10</v>
      </c>
      <c r="T253" s="17">
        <v>5.37</v>
      </c>
      <c r="U253" s="17">
        <v>800</v>
      </c>
    </row>
    <row r="254" spans="5:21" x14ac:dyDescent="0.25">
      <c r="E254" s="10">
        <v>43933</v>
      </c>
      <c r="F254" s="11">
        <v>0.87083333333333324</v>
      </c>
      <c r="G254" t="s">
        <v>9</v>
      </c>
      <c r="H254">
        <v>5.59</v>
      </c>
      <c r="I254">
        <v>350</v>
      </c>
      <c r="K254" s="14">
        <v>44115</v>
      </c>
      <c r="L254" s="15">
        <v>0.55555555555555558</v>
      </c>
      <c r="M254" s="13" t="s">
        <v>10</v>
      </c>
      <c r="N254" s="13">
        <v>0.5</v>
      </c>
      <c r="O254" s="13">
        <v>40</v>
      </c>
      <c r="Q254" s="18">
        <v>44006</v>
      </c>
      <c r="R254" s="19">
        <v>0.49861111111111112</v>
      </c>
      <c r="S254" s="17" t="s">
        <v>24</v>
      </c>
      <c r="T254" s="17">
        <v>0.19</v>
      </c>
      <c r="U254" s="17">
        <v>20</v>
      </c>
    </row>
    <row r="255" spans="5:21" x14ac:dyDescent="0.25">
      <c r="E255" s="10">
        <v>43933</v>
      </c>
      <c r="F255" s="11">
        <v>0.88541666666666663</v>
      </c>
      <c r="G255" t="s">
        <v>9</v>
      </c>
      <c r="H255">
        <v>4.93</v>
      </c>
      <c r="I255">
        <v>580</v>
      </c>
      <c r="K255" s="14">
        <v>44189</v>
      </c>
      <c r="L255" s="15">
        <v>0.77083333333333337</v>
      </c>
      <c r="M255" s="13" t="s">
        <v>10</v>
      </c>
      <c r="N255" s="13">
        <v>0.32</v>
      </c>
      <c r="O255" s="13">
        <v>50</v>
      </c>
      <c r="Q255" s="18">
        <v>44071</v>
      </c>
      <c r="R255" s="19">
        <v>4.7916666666666663E-2</v>
      </c>
      <c r="S255" s="17" t="s">
        <v>16</v>
      </c>
      <c r="T255" s="17">
        <v>0.73</v>
      </c>
      <c r="U255" s="17">
        <v>30</v>
      </c>
    </row>
    <row r="256" spans="5:21" x14ac:dyDescent="0.25">
      <c r="E256" s="10">
        <v>43933</v>
      </c>
      <c r="F256" s="11">
        <v>0.99513888888888891</v>
      </c>
      <c r="G256" t="s">
        <v>9</v>
      </c>
      <c r="H256">
        <v>3.76</v>
      </c>
      <c r="I256">
        <v>50</v>
      </c>
      <c r="K256" s="14">
        <v>43928</v>
      </c>
      <c r="L256" s="15">
        <v>0.97013888888888899</v>
      </c>
      <c r="M256" s="13" t="s">
        <v>34</v>
      </c>
      <c r="N256" s="13">
        <v>0.15</v>
      </c>
      <c r="O256" s="13">
        <v>75</v>
      </c>
      <c r="Q256" s="18">
        <v>43921</v>
      </c>
      <c r="R256" s="19">
        <v>0.44861111111111113</v>
      </c>
      <c r="S256" s="17" t="s">
        <v>9</v>
      </c>
      <c r="T256" s="17">
        <v>22.12</v>
      </c>
      <c r="U256" s="17">
        <v>200</v>
      </c>
    </row>
    <row r="257" spans="5:21" x14ac:dyDescent="0.25">
      <c r="E257" s="10">
        <v>43933</v>
      </c>
      <c r="F257" s="11">
        <v>0.9458333333333333</v>
      </c>
      <c r="G257" t="s">
        <v>9</v>
      </c>
      <c r="H257">
        <v>3.21</v>
      </c>
      <c r="I257">
        <v>50</v>
      </c>
      <c r="K257" s="14">
        <v>43928</v>
      </c>
      <c r="L257" s="15">
        <v>0.96597222222222223</v>
      </c>
      <c r="M257" s="13" t="s">
        <v>34</v>
      </c>
      <c r="N257" s="13">
        <v>3.83</v>
      </c>
      <c r="O257" s="13">
        <v>250</v>
      </c>
      <c r="Q257" s="18">
        <v>44002</v>
      </c>
      <c r="R257" s="19">
        <v>0.69097222222222221</v>
      </c>
      <c r="S257" s="17" t="s">
        <v>32</v>
      </c>
      <c r="T257" s="17">
        <v>3.37</v>
      </c>
      <c r="U257" s="17">
        <v>75</v>
      </c>
    </row>
    <row r="258" spans="5:21" x14ac:dyDescent="0.25">
      <c r="E258" s="10">
        <v>43933</v>
      </c>
      <c r="F258" s="11">
        <v>0.98055555555555562</v>
      </c>
      <c r="G258" t="s">
        <v>9</v>
      </c>
      <c r="H258">
        <v>0.71</v>
      </c>
      <c r="I258">
        <v>100</v>
      </c>
      <c r="K258" s="14">
        <v>43928</v>
      </c>
      <c r="L258" s="15">
        <v>0.94444444444444453</v>
      </c>
      <c r="M258" s="13" t="s">
        <v>34</v>
      </c>
      <c r="N258" s="13">
        <v>0.86</v>
      </c>
      <c r="O258" s="13">
        <v>100</v>
      </c>
      <c r="Q258" s="18">
        <v>44047</v>
      </c>
      <c r="R258" s="19">
        <v>0.21805555555555556</v>
      </c>
      <c r="S258" s="17" t="s">
        <v>18</v>
      </c>
      <c r="T258" s="17">
        <v>3.8</v>
      </c>
      <c r="U258" s="17">
        <v>200</v>
      </c>
    </row>
    <row r="259" spans="5:21" x14ac:dyDescent="0.25">
      <c r="E259" s="10">
        <v>43933</v>
      </c>
      <c r="F259" s="11">
        <v>0.93819444444444444</v>
      </c>
      <c r="G259" t="s">
        <v>9</v>
      </c>
      <c r="H259">
        <v>0.13</v>
      </c>
      <c r="I259">
        <v>50</v>
      </c>
      <c r="K259" s="14">
        <v>43992</v>
      </c>
      <c r="L259" s="15">
        <v>0.81319444444444444</v>
      </c>
      <c r="M259" s="13" t="s">
        <v>34</v>
      </c>
      <c r="N259" s="13">
        <v>9.6</v>
      </c>
      <c r="O259" s="13">
        <v>790</v>
      </c>
      <c r="Q259" s="18">
        <v>43967</v>
      </c>
      <c r="R259" s="19">
        <v>0.6777777777777777</v>
      </c>
      <c r="S259" s="17" t="s">
        <v>29</v>
      </c>
      <c r="T259" s="17">
        <v>2.16</v>
      </c>
      <c r="U259" s="17">
        <v>30</v>
      </c>
    </row>
    <row r="260" spans="5:21" x14ac:dyDescent="0.25">
      <c r="E260" s="10">
        <v>43934</v>
      </c>
      <c r="F260" s="11">
        <v>1.3194444444444444E-2</v>
      </c>
      <c r="G260" t="s">
        <v>9</v>
      </c>
      <c r="H260">
        <v>16.63</v>
      </c>
      <c r="I260">
        <v>1200</v>
      </c>
      <c r="K260" s="14">
        <v>44047</v>
      </c>
      <c r="L260" s="15">
        <v>0.36388888888888887</v>
      </c>
      <c r="M260" s="13" t="s">
        <v>34</v>
      </c>
      <c r="N260" s="13">
        <v>3.14</v>
      </c>
      <c r="O260" s="13">
        <v>200</v>
      </c>
      <c r="Q260" s="18">
        <v>43933</v>
      </c>
      <c r="R260" s="19">
        <v>0.46597222222222223</v>
      </c>
      <c r="S260" s="17" t="s">
        <v>26</v>
      </c>
      <c r="T260" s="17">
        <v>4.6500000000000004</v>
      </c>
      <c r="U260" s="17">
        <v>150</v>
      </c>
    </row>
    <row r="261" spans="5:21" x14ac:dyDescent="0.25">
      <c r="E261" s="10">
        <v>43934</v>
      </c>
      <c r="F261" s="11">
        <v>0.12013888888888889</v>
      </c>
      <c r="G261" t="s">
        <v>9</v>
      </c>
      <c r="H261">
        <v>16.489999999999998</v>
      </c>
      <c r="I261">
        <v>700</v>
      </c>
      <c r="K261" s="14">
        <v>44047</v>
      </c>
      <c r="L261" s="15">
        <v>0.36805555555555558</v>
      </c>
      <c r="M261" s="13" t="s">
        <v>34</v>
      </c>
      <c r="N261" s="13">
        <v>20.77</v>
      </c>
      <c r="O261" s="13">
        <v>500</v>
      </c>
      <c r="Q261" s="18">
        <v>43986</v>
      </c>
      <c r="R261" s="19">
        <v>5.5555555555555552E-2</v>
      </c>
      <c r="S261" s="17" t="s">
        <v>17</v>
      </c>
      <c r="T261" s="17">
        <v>5.69</v>
      </c>
      <c r="U261" s="17">
        <v>40</v>
      </c>
    </row>
    <row r="262" spans="5:21" x14ac:dyDescent="0.25">
      <c r="E262" s="10">
        <v>43934</v>
      </c>
      <c r="F262" s="11">
        <v>9.5833333333333326E-2</v>
      </c>
      <c r="G262" t="s">
        <v>9</v>
      </c>
      <c r="H262">
        <v>14.22</v>
      </c>
      <c r="I262">
        <v>220</v>
      </c>
      <c r="K262" s="14">
        <v>44165</v>
      </c>
      <c r="L262" s="15">
        <v>0.61944444444444446</v>
      </c>
      <c r="M262" s="13" t="s">
        <v>34</v>
      </c>
      <c r="N262" s="13">
        <v>0.87</v>
      </c>
      <c r="O262" s="13">
        <v>100</v>
      </c>
      <c r="Q262" s="18">
        <v>43988</v>
      </c>
      <c r="R262" s="19">
        <v>0.67152777777777783</v>
      </c>
      <c r="S262" s="17" t="s">
        <v>19</v>
      </c>
      <c r="T262" s="17">
        <v>0.01</v>
      </c>
      <c r="U262" s="17">
        <v>10</v>
      </c>
    </row>
    <row r="263" spans="5:21" x14ac:dyDescent="0.25">
      <c r="E263" s="10">
        <v>43934</v>
      </c>
      <c r="F263" s="11">
        <v>5.4166666666666669E-2</v>
      </c>
      <c r="G263" t="s">
        <v>9</v>
      </c>
      <c r="H263">
        <v>12.91</v>
      </c>
      <c r="I263">
        <v>300</v>
      </c>
      <c r="K263" s="14">
        <v>43995</v>
      </c>
      <c r="L263" s="15">
        <v>0.81111111111111101</v>
      </c>
      <c r="M263" s="13" t="s">
        <v>47</v>
      </c>
      <c r="N263" s="13">
        <v>2</v>
      </c>
      <c r="O263" s="13">
        <v>200</v>
      </c>
      <c r="Q263" s="18">
        <v>44047</v>
      </c>
      <c r="R263" s="19">
        <v>7.6388888888888886E-3</v>
      </c>
      <c r="S263" s="17" t="s">
        <v>14</v>
      </c>
      <c r="T263" s="17">
        <v>5</v>
      </c>
      <c r="U263" s="17">
        <v>100</v>
      </c>
    </row>
    <row r="264" spans="5:21" x14ac:dyDescent="0.25">
      <c r="E264" s="10">
        <v>43934</v>
      </c>
      <c r="F264" s="11">
        <v>3.4027777777777775E-2</v>
      </c>
      <c r="G264" t="s">
        <v>9</v>
      </c>
      <c r="H264">
        <v>9.77</v>
      </c>
      <c r="I264">
        <v>200</v>
      </c>
      <c r="K264" s="14">
        <v>44145</v>
      </c>
      <c r="L264" s="15">
        <v>0.59722222222222221</v>
      </c>
      <c r="M264" s="13" t="s">
        <v>47</v>
      </c>
      <c r="N264" s="13">
        <v>1.7</v>
      </c>
      <c r="O264" s="13">
        <v>200</v>
      </c>
      <c r="Q264" s="18">
        <v>43933</v>
      </c>
      <c r="R264" s="19">
        <v>0.9458333333333333</v>
      </c>
      <c r="S264" s="17" t="s">
        <v>9</v>
      </c>
      <c r="T264" s="17">
        <v>3.21</v>
      </c>
      <c r="U264" s="17">
        <v>50</v>
      </c>
    </row>
    <row r="265" spans="5:21" x14ac:dyDescent="0.25">
      <c r="E265" s="10">
        <v>43934</v>
      </c>
      <c r="F265" s="11">
        <v>0.25763888888888892</v>
      </c>
      <c r="G265" t="s">
        <v>9</v>
      </c>
      <c r="H265">
        <v>8.89</v>
      </c>
      <c r="I265">
        <v>250</v>
      </c>
      <c r="K265" s="14">
        <v>43840</v>
      </c>
      <c r="L265" s="15">
        <v>0.61736111111111114</v>
      </c>
      <c r="M265" s="13" t="s">
        <v>33</v>
      </c>
      <c r="N265" s="13">
        <v>5.8</v>
      </c>
      <c r="O265" s="13">
        <v>250</v>
      </c>
      <c r="Q265" s="18">
        <v>43972</v>
      </c>
      <c r="R265" s="19">
        <v>0.56458333333333333</v>
      </c>
      <c r="S265" s="17" t="s">
        <v>12</v>
      </c>
      <c r="T265" s="17">
        <v>0.01</v>
      </c>
      <c r="U265" s="17">
        <v>50</v>
      </c>
    </row>
    <row r="266" spans="5:21" x14ac:dyDescent="0.25">
      <c r="E266" s="10">
        <v>43934</v>
      </c>
      <c r="F266" s="11">
        <v>4.6527777777777779E-2</v>
      </c>
      <c r="G266" t="s">
        <v>9</v>
      </c>
      <c r="H266">
        <v>8.73</v>
      </c>
      <c r="I266">
        <v>500</v>
      </c>
      <c r="K266" s="14">
        <v>43840</v>
      </c>
      <c r="L266" s="15">
        <v>0.44027777777777777</v>
      </c>
      <c r="M266" s="13" t="s">
        <v>33</v>
      </c>
      <c r="N266" s="13">
        <v>1.3</v>
      </c>
      <c r="O266" s="13">
        <v>10</v>
      </c>
      <c r="Q266" s="18">
        <v>44014</v>
      </c>
      <c r="R266" s="19">
        <v>0.53194444444444444</v>
      </c>
      <c r="S266" s="17" t="s">
        <v>7</v>
      </c>
      <c r="T266" s="17">
        <v>0.01</v>
      </c>
      <c r="U266" s="17">
        <v>50</v>
      </c>
    </row>
    <row r="267" spans="5:21" x14ac:dyDescent="0.25">
      <c r="E267" s="10">
        <v>43934</v>
      </c>
      <c r="F267" s="11">
        <v>6.805555555555555E-2</v>
      </c>
      <c r="G267" t="s">
        <v>9</v>
      </c>
      <c r="H267">
        <v>6.4</v>
      </c>
      <c r="I267">
        <v>350</v>
      </c>
      <c r="K267" s="14">
        <v>43840</v>
      </c>
      <c r="L267" s="15">
        <v>0.49652777777777773</v>
      </c>
      <c r="M267" s="13" t="s">
        <v>33</v>
      </c>
      <c r="N267" s="13">
        <v>1</v>
      </c>
      <c r="O267" s="13">
        <v>50</v>
      </c>
      <c r="Q267" s="18">
        <v>43976</v>
      </c>
      <c r="R267" s="19">
        <v>0.80069444444444438</v>
      </c>
      <c r="S267" s="17" t="s">
        <v>33</v>
      </c>
      <c r="T267" s="17">
        <v>2.2000000000000002</v>
      </c>
      <c r="U267" s="17">
        <v>300</v>
      </c>
    </row>
    <row r="268" spans="5:21" x14ac:dyDescent="0.25">
      <c r="E268" s="10">
        <v>43934</v>
      </c>
      <c r="F268" s="11">
        <v>0.16527777777777777</v>
      </c>
      <c r="G268" t="s">
        <v>9</v>
      </c>
      <c r="H268">
        <v>5.9</v>
      </c>
      <c r="I268">
        <v>200</v>
      </c>
      <c r="K268" s="14">
        <v>43909</v>
      </c>
      <c r="L268" s="15">
        <v>0.3923611111111111</v>
      </c>
      <c r="M268" s="13" t="s">
        <v>33</v>
      </c>
      <c r="N268" s="13">
        <v>2.7</v>
      </c>
      <c r="O268" s="13">
        <v>225</v>
      </c>
      <c r="Q268" s="18">
        <v>43840</v>
      </c>
      <c r="R268" s="19">
        <v>0.44027777777777777</v>
      </c>
      <c r="S268" s="17" t="s">
        <v>33</v>
      </c>
      <c r="T268" s="17">
        <v>1.3</v>
      </c>
      <c r="U268" s="17">
        <v>10</v>
      </c>
    </row>
    <row r="269" spans="5:21" x14ac:dyDescent="0.25">
      <c r="E269" s="10">
        <v>43934</v>
      </c>
      <c r="F269" s="11">
        <v>2.7777777777777776E-2</v>
      </c>
      <c r="G269" t="s">
        <v>9</v>
      </c>
      <c r="H269">
        <v>5.3</v>
      </c>
      <c r="I269">
        <v>300</v>
      </c>
      <c r="K269" s="14">
        <v>43909</v>
      </c>
      <c r="L269" s="15">
        <v>3.6805555555555557E-2</v>
      </c>
      <c r="M269" s="13" t="s">
        <v>33</v>
      </c>
      <c r="N269" s="13">
        <v>0.6</v>
      </c>
      <c r="O269" s="13">
        <v>75</v>
      </c>
      <c r="Q269" s="18">
        <v>43984</v>
      </c>
      <c r="R269" s="19">
        <v>0.56319444444444444</v>
      </c>
      <c r="S269" s="17" t="s">
        <v>7</v>
      </c>
      <c r="T269" s="17">
        <v>7.0000000000000007E-2</v>
      </c>
      <c r="U269" s="17">
        <v>30</v>
      </c>
    </row>
    <row r="270" spans="5:21" x14ac:dyDescent="0.25">
      <c r="E270" s="10">
        <v>43934</v>
      </c>
      <c r="F270" s="11">
        <v>0.16527777777777777</v>
      </c>
      <c r="G270" t="s">
        <v>9</v>
      </c>
      <c r="H270">
        <v>4.99</v>
      </c>
      <c r="I270">
        <v>200</v>
      </c>
      <c r="K270" s="14">
        <v>43942</v>
      </c>
      <c r="L270" s="15">
        <v>0.94652777777777775</v>
      </c>
      <c r="M270" s="13" t="s">
        <v>33</v>
      </c>
      <c r="N270" s="13">
        <v>1.6</v>
      </c>
      <c r="O270" s="13">
        <v>100</v>
      </c>
      <c r="Q270" s="18">
        <v>43933</v>
      </c>
      <c r="R270" s="19">
        <v>0.8354166666666667</v>
      </c>
      <c r="S270" s="17" t="s">
        <v>20</v>
      </c>
      <c r="T270" s="17">
        <v>0.41</v>
      </c>
      <c r="U270" s="17">
        <v>100</v>
      </c>
    </row>
    <row r="271" spans="5:21" x14ac:dyDescent="0.25">
      <c r="E271" s="10">
        <v>43934</v>
      </c>
      <c r="F271" s="11">
        <v>0.22569444444444445</v>
      </c>
      <c r="G271" t="s">
        <v>9</v>
      </c>
      <c r="H271">
        <v>4.75</v>
      </c>
      <c r="I271">
        <v>440</v>
      </c>
      <c r="K271" s="14">
        <v>43942</v>
      </c>
      <c r="L271" s="15">
        <v>0.93611111111111101</v>
      </c>
      <c r="M271" s="13" t="s">
        <v>33</v>
      </c>
      <c r="N271" s="13">
        <v>0.28999999999999998</v>
      </c>
      <c r="O271" s="13">
        <v>100</v>
      </c>
      <c r="Q271" s="18">
        <v>44006</v>
      </c>
      <c r="R271" s="19">
        <v>0.48194444444444445</v>
      </c>
      <c r="S271" s="17" t="s">
        <v>24</v>
      </c>
      <c r="T271" s="17">
        <v>0.25</v>
      </c>
      <c r="U271" s="17">
        <v>50</v>
      </c>
    </row>
    <row r="272" spans="5:21" x14ac:dyDescent="0.25">
      <c r="E272" s="10">
        <v>43934</v>
      </c>
      <c r="F272" s="11">
        <v>4.2361111111111106E-2</v>
      </c>
      <c r="G272" t="s">
        <v>9</v>
      </c>
      <c r="H272">
        <v>4.54</v>
      </c>
      <c r="I272">
        <v>200</v>
      </c>
      <c r="K272" s="14">
        <v>43943</v>
      </c>
      <c r="L272" s="15">
        <v>0.68472222222222223</v>
      </c>
      <c r="M272" s="13" t="s">
        <v>33</v>
      </c>
      <c r="N272" s="13">
        <v>5</v>
      </c>
      <c r="O272" s="13">
        <v>100</v>
      </c>
      <c r="Q272" s="18">
        <v>43934</v>
      </c>
      <c r="R272" s="19">
        <v>0.19791666666666666</v>
      </c>
      <c r="S272" s="17" t="s">
        <v>14</v>
      </c>
      <c r="T272" s="17">
        <v>8.82</v>
      </c>
      <c r="U272" s="17">
        <v>200</v>
      </c>
    </row>
    <row r="273" spans="5:21" x14ac:dyDescent="0.25">
      <c r="E273" s="10">
        <v>43934</v>
      </c>
      <c r="F273" s="11">
        <v>4.1666666666666664E-2</v>
      </c>
      <c r="G273" t="s">
        <v>9</v>
      </c>
      <c r="H273">
        <v>3.68</v>
      </c>
      <c r="I273">
        <v>300</v>
      </c>
      <c r="K273" s="14">
        <v>43943</v>
      </c>
      <c r="L273" s="15">
        <v>0.65625</v>
      </c>
      <c r="M273" s="13" t="s">
        <v>33</v>
      </c>
      <c r="N273" s="13">
        <v>0.2</v>
      </c>
      <c r="O273" s="13">
        <v>50</v>
      </c>
      <c r="Q273" s="18">
        <v>43944</v>
      </c>
      <c r="R273" s="19">
        <v>0.625</v>
      </c>
      <c r="S273" s="17" t="s">
        <v>19</v>
      </c>
      <c r="T273" s="17">
        <v>13.4</v>
      </c>
      <c r="U273" s="17">
        <v>75</v>
      </c>
    </row>
    <row r="274" spans="5:21" x14ac:dyDescent="0.25">
      <c r="E274" s="10">
        <v>43934</v>
      </c>
      <c r="F274" s="11">
        <v>0.15</v>
      </c>
      <c r="G274" t="s">
        <v>9</v>
      </c>
      <c r="H274">
        <v>3.62</v>
      </c>
      <c r="I274">
        <v>100</v>
      </c>
      <c r="K274" s="14">
        <v>43943</v>
      </c>
      <c r="L274" s="15">
        <v>0.63680555555555551</v>
      </c>
      <c r="M274" s="13" t="s">
        <v>33</v>
      </c>
      <c r="N274" s="13">
        <v>2.2000000000000002</v>
      </c>
      <c r="O274" s="13">
        <v>600</v>
      </c>
      <c r="Q274" s="18">
        <v>43991</v>
      </c>
      <c r="R274" s="19">
        <v>0.79375000000000007</v>
      </c>
      <c r="S274" s="17" t="s">
        <v>17</v>
      </c>
      <c r="T274" s="17">
        <v>0.01</v>
      </c>
      <c r="U274" s="17">
        <v>25</v>
      </c>
    </row>
    <row r="275" spans="5:21" x14ac:dyDescent="0.25">
      <c r="E275" s="10">
        <v>43934</v>
      </c>
      <c r="F275" s="11">
        <v>0.23402777777777781</v>
      </c>
      <c r="G275" t="s">
        <v>9</v>
      </c>
      <c r="H275">
        <v>3.2</v>
      </c>
      <c r="I275">
        <v>500</v>
      </c>
      <c r="K275" s="14">
        <v>43943</v>
      </c>
      <c r="L275" s="15">
        <v>0.64166666666666672</v>
      </c>
      <c r="M275" s="13" t="s">
        <v>33</v>
      </c>
      <c r="N275" s="13">
        <v>4.7300000000000004</v>
      </c>
      <c r="O275" s="13">
        <v>600</v>
      </c>
      <c r="Q275" s="18">
        <v>43943</v>
      </c>
      <c r="R275" s="19">
        <v>0.63680555555555551</v>
      </c>
      <c r="S275" s="17" t="s">
        <v>33</v>
      </c>
      <c r="T275" s="17">
        <v>2.2000000000000002</v>
      </c>
      <c r="U275" s="17">
        <v>600</v>
      </c>
    </row>
    <row r="276" spans="5:21" x14ac:dyDescent="0.25">
      <c r="E276" s="10">
        <v>43934</v>
      </c>
      <c r="F276" s="11">
        <v>8.6805555555555566E-2</v>
      </c>
      <c r="G276" t="s">
        <v>9</v>
      </c>
      <c r="H276">
        <v>3.08</v>
      </c>
      <c r="I276">
        <v>100</v>
      </c>
      <c r="K276" s="14">
        <v>43943</v>
      </c>
      <c r="L276" s="15">
        <v>0.64097222222222217</v>
      </c>
      <c r="M276" s="13" t="s">
        <v>33</v>
      </c>
      <c r="N276" s="13">
        <v>0.1</v>
      </c>
      <c r="O276" s="13">
        <v>20</v>
      </c>
      <c r="Q276" s="18">
        <v>44028</v>
      </c>
      <c r="R276" s="19">
        <v>0.61805555555555558</v>
      </c>
      <c r="S276" s="17" t="s">
        <v>36</v>
      </c>
      <c r="T276" s="17">
        <v>1.5</v>
      </c>
      <c r="U276" s="17">
        <v>35</v>
      </c>
    </row>
    <row r="277" spans="5:21" x14ac:dyDescent="0.25">
      <c r="E277" s="10">
        <v>43934</v>
      </c>
      <c r="F277" s="11">
        <v>5.5555555555555558E-3</v>
      </c>
      <c r="G277" t="s">
        <v>9</v>
      </c>
      <c r="H277">
        <v>2.94</v>
      </c>
      <c r="I277">
        <v>100</v>
      </c>
      <c r="K277" s="14">
        <v>43943</v>
      </c>
      <c r="L277" s="15">
        <v>0.67361111111111116</v>
      </c>
      <c r="M277" s="13" t="s">
        <v>33</v>
      </c>
      <c r="N277" s="13">
        <v>1.4</v>
      </c>
      <c r="O277" s="13">
        <v>50</v>
      </c>
      <c r="Q277" s="18">
        <v>43934</v>
      </c>
      <c r="R277" s="19">
        <v>8.4027777777777771E-2</v>
      </c>
      <c r="S277" s="17" t="s">
        <v>10</v>
      </c>
      <c r="T277" s="17">
        <v>0.68</v>
      </c>
      <c r="U277" s="17">
        <v>30</v>
      </c>
    </row>
    <row r="278" spans="5:21" x14ac:dyDescent="0.25">
      <c r="E278" s="10">
        <v>43934</v>
      </c>
      <c r="F278" s="11">
        <v>2.4999999999999998E-2</v>
      </c>
      <c r="G278" t="s">
        <v>9</v>
      </c>
      <c r="H278">
        <v>2.75</v>
      </c>
      <c r="I278">
        <v>50</v>
      </c>
      <c r="K278" s="14">
        <v>43943</v>
      </c>
      <c r="L278" s="15">
        <v>0.70763888888888893</v>
      </c>
      <c r="M278" s="13" t="s">
        <v>33</v>
      </c>
      <c r="N278" s="13">
        <v>0.1</v>
      </c>
      <c r="O278" s="13">
        <v>30</v>
      </c>
      <c r="Q278" s="18">
        <v>43934</v>
      </c>
      <c r="R278" s="19">
        <v>0.16527777777777777</v>
      </c>
      <c r="S278" s="17" t="s">
        <v>9</v>
      </c>
      <c r="T278" s="17">
        <v>4.99</v>
      </c>
      <c r="U278" s="17">
        <v>200</v>
      </c>
    </row>
    <row r="279" spans="5:21" x14ac:dyDescent="0.25">
      <c r="E279" s="10">
        <v>43934</v>
      </c>
      <c r="F279" s="11">
        <v>0.1673611111111111</v>
      </c>
      <c r="G279" t="s">
        <v>9</v>
      </c>
      <c r="H279">
        <v>1.92</v>
      </c>
      <c r="I279">
        <v>50</v>
      </c>
      <c r="K279" s="14">
        <v>43943</v>
      </c>
      <c r="L279" s="15">
        <v>0.70277777777777783</v>
      </c>
      <c r="M279" s="13" t="s">
        <v>33</v>
      </c>
      <c r="N279" s="13">
        <v>1.2</v>
      </c>
      <c r="O279" s="13">
        <v>30</v>
      </c>
      <c r="Q279" s="18">
        <v>44020</v>
      </c>
      <c r="R279" s="19">
        <v>0.78819444444444453</v>
      </c>
      <c r="S279" s="17" t="s">
        <v>28</v>
      </c>
      <c r="T279" s="17">
        <v>0.1</v>
      </c>
      <c r="U279" s="17">
        <v>10</v>
      </c>
    </row>
    <row r="280" spans="5:21" x14ac:dyDescent="0.25">
      <c r="E280" s="10">
        <v>43934</v>
      </c>
      <c r="F280" s="11">
        <v>8.4027777777777771E-2</v>
      </c>
      <c r="G280" t="s">
        <v>9</v>
      </c>
      <c r="H280">
        <v>1.66</v>
      </c>
      <c r="I280">
        <v>50</v>
      </c>
      <c r="K280" s="14">
        <v>43943</v>
      </c>
      <c r="L280" s="15">
        <v>0.66180555555555554</v>
      </c>
      <c r="M280" s="13" t="s">
        <v>33</v>
      </c>
      <c r="N280" s="13">
        <v>4.25</v>
      </c>
      <c r="O280" s="13">
        <v>400</v>
      </c>
      <c r="Q280" s="18">
        <v>44091</v>
      </c>
      <c r="R280" s="19">
        <v>0.98125000000000007</v>
      </c>
      <c r="S280" s="17" t="s">
        <v>14</v>
      </c>
      <c r="T280" s="17">
        <v>0.1</v>
      </c>
      <c r="U280" s="17">
        <v>20</v>
      </c>
    </row>
    <row r="281" spans="5:21" x14ac:dyDescent="0.25">
      <c r="E281" s="10">
        <v>43934</v>
      </c>
      <c r="F281" s="11">
        <v>0.19375000000000001</v>
      </c>
      <c r="G281" t="s">
        <v>9</v>
      </c>
      <c r="H281">
        <v>1.18</v>
      </c>
      <c r="I281">
        <v>125</v>
      </c>
      <c r="K281" s="14">
        <v>43943</v>
      </c>
      <c r="L281" s="15">
        <v>0.68888888888888899</v>
      </c>
      <c r="M281" s="13" t="s">
        <v>33</v>
      </c>
      <c r="N281" s="13">
        <v>5.21</v>
      </c>
      <c r="O281" s="13">
        <v>500</v>
      </c>
      <c r="Q281" s="18">
        <v>43892</v>
      </c>
      <c r="R281" s="19">
        <v>0.83333333333333337</v>
      </c>
      <c r="S281" s="17" t="s">
        <v>11</v>
      </c>
      <c r="T281" s="17">
        <v>5.51</v>
      </c>
      <c r="U281" s="17">
        <v>400</v>
      </c>
    </row>
    <row r="282" spans="5:21" x14ac:dyDescent="0.25">
      <c r="E282" s="10">
        <v>43934</v>
      </c>
      <c r="F282" s="11">
        <v>9.1666666666666674E-2</v>
      </c>
      <c r="G282" t="s">
        <v>9</v>
      </c>
      <c r="H282">
        <v>1.01</v>
      </c>
      <c r="I282">
        <v>100</v>
      </c>
      <c r="K282" s="14">
        <v>43949</v>
      </c>
      <c r="L282" s="15">
        <v>0.88888888888888884</v>
      </c>
      <c r="M282" s="13" t="s">
        <v>33</v>
      </c>
      <c r="N282" s="13">
        <v>3.43</v>
      </c>
      <c r="O282" s="13">
        <v>350</v>
      </c>
      <c r="Q282" s="18">
        <v>43983</v>
      </c>
      <c r="R282" s="19">
        <v>0.65208333333333335</v>
      </c>
      <c r="S282" s="17" t="s">
        <v>19</v>
      </c>
      <c r="T282" s="17">
        <v>0.62</v>
      </c>
      <c r="U282" s="17">
        <v>75</v>
      </c>
    </row>
    <row r="283" spans="5:21" x14ac:dyDescent="0.25">
      <c r="E283" s="10">
        <v>43934</v>
      </c>
      <c r="F283" s="11">
        <v>0.24097222222222223</v>
      </c>
      <c r="G283" t="s">
        <v>9</v>
      </c>
      <c r="H283">
        <v>0.36</v>
      </c>
      <c r="I283">
        <v>100</v>
      </c>
      <c r="K283" s="14">
        <v>43949</v>
      </c>
      <c r="L283" s="15">
        <v>0.88888888888888884</v>
      </c>
      <c r="M283" s="13" t="s">
        <v>33</v>
      </c>
      <c r="N283" s="13">
        <v>19.38</v>
      </c>
      <c r="O283" s="13">
        <v>350</v>
      </c>
      <c r="Q283" s="18">
        <v>43944</v>
      </c>
      <c r="R283" s="19">
        <v>0.22013888888888888</v>
      </c>
      <c r="S283" s="17" t="s">
        <v>24</v>
      </c>
      <c r="T283" s="17">
        <v>2.2599999999999998</v>
      </c>
      <c r="U283" s="17">
        <v>200</v>
      </c>
    </row>
    <row r="284" spans="5:21" x14ac:dyDescent="0.25">
      <c r="E284" s="10">
        <v>43941</v>
      </c>
      <c r="F284" s="11">
        <v>6.9444444444444441E-3</v>
      </c>
      <c r="G284" t="s">
        <v>9</v>
      </c>
      <c r="H284">
        <v>8.7200000000000006</v>
      </c>
      <c r="I284">
        <v>500</v>
      </c>
      <c r="K284" s="14">
        <v>43949</v>
      </c>
      <c r="L284" s="15">
        <v>0.83472222222222225</v>
      </c>
      <c r="M284" s="13" t="s">
        <v>33</v>
      </c>
      <c r="N284" s="13">
        <v>5.2</v>
      </c>
      <c r="O284" s="13">
        <v>550</v>
      </c>
      <c r="Q284" s="18">
        <v>43918</v>
      </c>
      <c r="R284" s="19">
        <v>0.80555555555555547</v>
      </c>
      <c r="S284" s="17" t="s">
        <v>15</v>
      </c>
      <c r="T284" s="17">
        <v>2.17</v>
      </c>
      <c r="U284" s="17">
        <v>20</v>
      </c>
    </row>
    <row r="285" spans="5:21" x14ac:dyDescent="0.25">
      <c r="E285" s="10">
        <v>43944</v>
      </c>
      <c r="F285" s="11">
        <v>0.44027777777777777</v>
      </c>
      <c r="G285" t="s">
        <v>9</v>
      </c>
      <c r="H285">
        <v>37.24</v>
      </c>
      <c r="I285">
        <v>650</v>
      </c>
      <c r="K285" s="14">
        <v>43949</v>
      </c>
      <c r="L285" s="15">
        <v>0.87847222222222221</v>
      </c>
      <c r="M285" s="13" t="s">
        <v>33</v>
      </c>
      <c r="N285" s="13">
        <v>3.23</v>
      </c>
      <c r="O285" s="13">
        <v>100</v>
      </c>
      <c r="Q285" s="18">
        <v>43934</v>
      </c>
      <c r="R285" s="19">
        <v>0.24097222222222223</v>
      </c>
      <c r="S285" s="17" t="s">
        <v>9</v>
      </c>
      <c r="T285" s="17">
        <v>0.36</v>
      </c>
      <c r="U285" s="17">
        <v>100</v>
      </c>
    </row>
    <row r="286" spans="5:21" x14ac:dyDescent="0.25">
      <c r="E286" s="10">
        <v>43944</v>
      </c>
      <c r="F286" s="11">
        <v>0.50347222222222221</v>
      </c>
      <c r="G286" t="s">
        <v>9</v>
      </c>
      <c r="H286">
        <v>8.9700000000000006</v>
      </c>
      <c r="I286">
        <v>50</v>
      </c>
      <c r="K286" s="14">
        <v>43955</v>
      </c>
      <c r="L286" s="15">
        <v>0.70138888888888884</v>
      </c>
      <c r="M286" s="13" t="s">
        <v>33</v>
      </c>
      <c r="N286" s="13">
        <v>2</v>
      </c>
      <c r="O286" s="13">
        <v>50</v>
      </c>
      <c r="Q286" s="18">
        <v>43990</v>
      </c>
      <c r="R286" s="19">
        <v>0.78680555555555554</v>
      </c>
      <c r="S286" s="17" t="s">
        <v>28</v>
      </c>
      <c r="T286" s="17">
        <v>0.01</v>
      </c>
      <c r="U286" s="17">
        <v>10</v>
      </c>
    </row>
    <row r="287" spans="5:21" x14ac:dyDescent="0.25">
      <c r="E287" s="10">
        <v>43944</v>
      </c>
      <c r="F287" s="11">
        <v>0.4201388888888889</v>
      </c>
      <c r="G287" t="s">
        <v>9</v>
      </c>
      <c r="H287">
        <v>2.4</v>
      </c>
      <c r="I287">
        <v>176</v>
      </c>
      <c r="K287" s="14">
        <v>43966</v>
      </c>
      <c r="L287" s="15">
        <v>0.77222222222222225</v>
      </c>
      <c r="M287" s="13" t="s">
        <v>33</v>
      </c>
      <c r="N287" s="13">
        <v>0.3</v>
      </c>
      <c r="O287" s="13">
        <v>50</v>
      </c>
      <c r="Q287" s="18">
        <v>44035</v>
      </c>
      <c r="R287" s="19">
        <v>0.62291666666666667</v>
      </c>
      <c r="S287" s="17" t="s">
        <v>16</v>
      </c>
      <c r="T287" s="17">
        <v>0.05</v>
      </c>
      <c r="U287" s="17">
        <v>10</v>
      </c>
    </row>
    <row r="288" spans="5:21" x14ac:dyDescent="0.25">
      <c r="E288" s="10">
        <v>43944</v>
      </c>
      <c r="F288" s="11">
        <v>0.4777777777777778</v>
      </c>
      <c r="G288" t="s">
        <v>9</v>
      </c>
      <c r="H288">
        <v>2.2400000000000002</v>
      </c>
      <c r="I288">
        <v>50</v>
      </c>
      <c r="K288" s="14">
        <v>43966</v>
      </c>
      <c r="L288" s="15">
        <v>0.35972222222222222</v>
      </c>
      <c r="M288" s="13" t="s">
        <v>33</v>
      </c>
      <c r="N288" s="13">
        <v>4.8</v>
      </c>
      <c r="O288" s="13">
        <v>525</v>
      </c>
      <c r="Q288" s="18">
        <v>44057</v>
      </c>
      <c r="R288" s="19">
        <v>0.65902777777777777</v>
      </c>
      <c r="S288" s="17" t="s">
        <v>12</v>
      </c>
      <c r="T288" s="17">
        <v>1.34</v>
      </c>
      <c r="U288" s="17">
        <v>100</v>
      </c>
    </row>
    <row r="289" spans="5:21" x14ac:dyDescent="0.25">
      <c r="E289" s="10">
        <v>43944</v>
      </c>
      <c r="F289" s="11">
        <v>0.54097222222222219</v>
      </c>
      <c r="G289" t="s">
        <v>9</v>
      </c>
      <c r="H289">
        <v>0.47</v>
      </c>
      <c r="I289">
        <v>50</v>
      </c>
      <c r="K289" s="14">
        <v>43967</v>
      </c>
      <c r="L289" s="15">
        <v>0.68055555555555547</v>
      </c>
      <c r="M289" s="13" t="s">
        <v>33</v>
      </c>
      <c r="N289" s="13">
        <v>0.13</v>
      </c>
      <c r="O289" s="13">
        <v>20</v>
      </c>
      <c r="Q289" s="18">
        <v>43943</v>
      </c>
      <c r="R289" s="19">
        <v>0.76944444444444438</v>
      </c>
      <c r="S289" s="17" t="s">
        <v>6</v>
      </c>
      <c r="T289" s="17">
        <v>20.8</v>
      </c>
      <c r="U289" s="17">
        <v>600</v>
      </c>
    </row>
    <row r="290" spans="5:21" x14ac:dyDescent="0.25">
      <c r="E290" s="10">
        <v>43944</v>
      </c>
      <c r="F290" s="11">
        <v>0.56736111111111109</v>
      </c>
      <c r="G290" t="s">
        <v>9</v>
      </c>
      <c r="H290">
        <v>0.3</v>
      </c>
      <c r="I290">
        <v>50</v>
      </c>
      <c r="K290" s="14">
        <v>43967</v>
      </c>
      <c r="L290" s="15">
        <v>0.56666666666666665</v>
      </c>
      <c r="M290" s="13" t="s">
        <v>33</v>
      </c>
      <c r="N290" s="13">
        <v>1.25</v>
      </c>
      <c r="O290" s="13">
        <v>20</v>
      </c>
      <c r="Q290" s="18">
        <v>44029</v>
      </c>
      <c r="R290" s="19">
        <v>0.61597222222222225</v>
      </c>
      <c r="S290" s="17" t="s">
        <v>31</v>
      </c>
      <c r="T290" s="17">
        <v>0.25</v>
      </c>
      <c r="U290" s="17">
        <v>40</v>
      </c>
    </row>
    <row r="291" spans="5:21" x14ac:dyDescent="0.25">
      <c r="E291" s="10">
        <v>43981</v>
      </c>
      <c r="F291" s="11">
        <v>0.47916666666666669</v>
      </c>
      <c r="G291" t="s">
        <v>9</v>
      </c>
      <c r="H291">
        <v>0.05</v>
      </c>
      <c r="I291">
        <v>30</v>
      </c>
      <c r="K291" s="14">
        <v>43973</v>
      </c>
      <c r="L291" s="15">
        <v>0.85555555555555562</v>
      </c>
      <c r="M291" s="13" t="s">
        <v>33</v>
      </c>
      <c r="N291" s="13">
        <v>0.3</v>
      </c>
      <c r="O291" s="13">
        <v>50</v>
      </c>
      <c r="Q291" s="18">
        <v>43933</v>
      </c>
      <c r="R291" s="19">
        <v>0.44861111111111113</v>
      </c>
      <c r="S291" s="17" t="s">
        <v>26</v>
      </c>
      <c r="T291" s="17">
        <v>1.1399999999999999</v>
      </c>
      <c r="U291" s="17">
        <v>50</v>
      </c>
    </row>
    <row r="292" spans="5:21" x14ac:dyDescent="0.25">
      <c r="E292" s="10">
        <v>44090</v>
      </c>
      <c r="F292" s="11">
        <v>0.61527777777777781</v>
      </c>
      <c r="G292" t="s">
        <v>9</v>
      </c>
      <c r="H292">
        <v>5.26</v>
      </c>
      <c r="I292">
        <v>50</v>
      </c>
      <c r="K292" s="14">
        <v>43973</v>
      </c>
      <c r="L292" s="15">
        <v>0.88541666666666663</v>
      </c>
      <c r="M292" s="13" t="s">
        <v>33</v>
      </c>
      <c r="N292" s="13">
        <v>2.7</v>
      </c>
      <c r="O292" s="13">
        <v>200</v>
      </c>
      <c r="Q292" s="18">
        <v>43868</v>
      </c>
      <c r="R292" s="19">
        <v>0.2638888888888889</v>
      </c>
      <c r="S292" s="17" t="s">
        <v>35</v>
      </c>
      <c r="T292" s="17">
        <v>3.36</v>
      </c>
      <c r="U292" s="17">
        <v>250</v>
      </c>
    </row>
    <row r="293" spans="5:21" x14ac:dyDescent="0.25">
      <c r="E293" s="10">
        <v>44090</v>
      </c>
      <c r="F293" s="11">
        <v>0.61111111111111105</v>
      </c>
      <c r="G293" t="s">
        <v>9</v>
      </c>
      <c r="H293">
        <v>2.97</v>
      </c>
      <c r="I293">
        <v>50</v>
      </c>
      <c r="K293" s="14">
        <v>43973</v>
      </c>
      <c r="L293" s="15">
        <v>0.87361111111111101</v>
      </c>
      <c r="M293" s="13" t="s">
        <v>33</v>
      </c>
      <c r="N293" s="13">
        <v>0.9</v>
      </c>
      <c r="O293" s="13">
        <v>100</v>
      </c>
      <c r="Q293" s="18">
        <v>44153</v>
      </c>
      <c r="R293" s="19">
        <v>0.66319444444444442</v>
      </c>
      <c r="S293" s="17" t="s">
        <v>25</v>
      </c>
      <c r="T293" s="17">
        <v>0.47</v>
      </c>
      <c r="U293" s="17">
        <v>3</v>
      </c>
    </row>
    <row r="294" spans="5:21" x14ac:dyDescent="0.25">
      <c r="E294" s="10">
        <v>44090</v>
      </c>
      <c r="F294" s="11">
        <v>0.62916666666666665</v>
      </c>
      <c r="G294" t="s">
        <v>9</v>
      </c>
      <c r="H294">
        <v>2.2999999999999998</v>
      </c>
      <c r="I294">
        <v>50</v>
      </c>
      <c r="K294" s="14">
        <v>43973</v>
      </c>
      <c r="L294" s="15">
        <v>0.82986111111111116</v>
      </c>
      <c r="M294" s="13" t="s">
        <v>33</v>
      </c>
      <c r="N294" s="13">
        <v>1.7</v>
      </c>
      <c r="O294" s="13">
        <v>75</v>
      </c>
      <c r="Q294" s="18">
        <v>44189</v>
      </c>
      <c r="R294" s="19">
        <v>0.93125000000000002</v>
      </c>
      <c r="S294" s="17" t="s">
        <v>35</v>
      </c>
      <c r="T294" s="17">
        <v>0.3</v>
      </c>
      <c r="U294" s="17">
        <v>150</v>
      </c>
    </row>
    <row r="295" spans="5:21" x14ac:dyDescent="0.25">
      <c r="E295" s="10">
        <v>44090</v>
      </c>
      <c r="F295" s="11">
        <v>0.60416666666666663</v>
      </c>
      <c r="G295" t="s">
        <v>9</v>
      </c>
      <c r="H295">
        <v>2.2200000000000002</v>
      </c>
      <c r="I295">
        <v>50</v>
      </c>
      <c r="K295" s="14">
        <v>43973</v>
      </c>
      <c r="L295" s="15">
        <v>0.87847222222222221</v>
      </c>
      <c r="M295" s="13" t="s">
        <v>33</v>
      </c>
      <c r="N295" s="13">
        <v>3</v>
      </c>
      <c r="O295" s="13">
        <v>225</v>
      </c>
      <c r="Q295" s="18">
        <v>43988</v>
      </c>
      <c r="R295" s="19">
        <v>0.76874999999999993</v>
      </c>
      <c r="S295" s="17" t="s">
        <v>19</v>
      </c>
      <c r="T295" s="17">
        <v>2</v>
      </c>
      <c r="U295" s="17">
        <v>200</v>
      </c>
    </row>
    <row r="296" spans="5:21" x14ac:dyDescent="0.25">
      <c r="E296" s="10">
        <v>44090</v>
      </c>
      <c r="F296" s="11">
        <v>0.73125000000000007</v>
      </c>
      <c r="G296" t="s">
        <v>9</v>
      </c>
      <c r="H296">
        <v>0.16</v>
      </c>
      <c r="I296">
        <v>200</v>
      </c>
      <c r="K296" s="14">
        <v>43976</v>
      </c>
      <c r="L296" s="15">
        <v>0.75763888888888886</v>
      </c>
      <c r="M296" s="13" t="s">
        <v>33</v>
      </c>
      <c r="N296" s="13">
        <v>0.6</v>
      </c>
      <c r="O296" s="13">
        <v>120</v>
      </c>
      <c r="Q296" s="18">
        <v>43965</v>
      </c>
      <c r="R296" s="19">
        <v>0.79513888888888884</v>
      </c>
      <c r="S296" s="17" t="s">
        <v>12</v>
      </c>
      <c r="T296" s="17">
        <v>2.66</v>
      </c>
      <c r="U296" s="17">
        <v>25</v>
      </c>
    </row>
    <row r="297" spans="5:21" x14ac:dyDescent="0.25">
      <c r="E297" s="10">
        <v>44091</v>
      </c>
      <c r="F297" s="11">
        <v>3.7499999999999999E-2</v>
      </c>
      <c r="G297" t="s">
        <v>9</v>
      </c>
      <c r="H297">
        <v>2.66</v>
      </c>
      <c r="I297">
        <v>150</v>
      </c>
      <c r="K297" s="14">
        <v>43976</v>
      </c>
      <c r="L297" s="15">
        <v>0.80069444444444438</v>
      </c>
      <c r="M297" s="13" t="s">
        <v>33</v>
      </c>
      <c r="N297" s="13">
        <v>2.2000000000000002</v>
      </c>
      <c r="O297" s="13">
        <v>300</v>
      </c>
      <c r="Q297" s="18">
        <v>43984</v>
      </c>
      <c r="R297" s="19">
        <v>0.57777777777777783</v>
      </c>
      <c r="S297" s="17" t="s">
        <v>7</v>
      </c>
      <c r="T297" s="17">
        <v>0.48</v>
      </c>
      <c r="U297" s="17">
        <v>30</v>
      </c>
    </row>
    <row r="298" spans="5:21" x14ac:dyDescent="0.25">
      <c r="E298" s="10">
        <v>44114</v>
      </c>
      <c r="F298" s="11">
        <v>0.68541666666666667</v>
      </c>
      <c r="G298" t="s">
        <v>9</v>
      </c>
      <c r="H298">
        <v>2.13</v>
      </c>
      <c r="I298">
        <v>200</v>
      </c>
      <c r="K298" s="14">
        <v>43976</v>
      </c>
      <c r="L298" s="15">
        <v>0.78125</v>
      </c>
      <c r="M298" s="13" t="s">
        <v>33</v>
      </c>
      <c r="N298" s="13">
        <v>0.3</v>
      </c>
      <c r="O298" s="13">
        <v>75</v>
      </c>
      <c r="Q298" s="18">
        <v>44038</v>
      </c>
      <c r="R298" s="19">
        <v>0.10555555555555556</v>
      </c>
      <c r="S298" s="17" t="s">
        <v>6</v>
      </c>
      <c r="T298" s="17">
        <v>3.43</v>
      </c>
      <c r="U298" s="17">
        <v>50</v>
      </c>
    </row>
    <row r="299" spans="5:21" x14ac:dyDescent="0.25">
      <c r="E299" s="10">
        <v>44114</v>
      </c>
      <c r="F299" s="11">
        <v>0.76111111111111107</v>
      </c>
      <c r="G299" t="s">
        <v>9</v>
      </c>
      <c r="H299">
        <v>1.68</v>
      </c>
      <c r="I299">
        <v>250</v>
      </c>
      <c r="K299" s="14">
        <v>43976</v>
      </c>
      <c r="L299" s="15">
        <v>0.77361111111111114</v>
      </c>
      <c r="M299" s="13" t="s">
        <v>33</v>
      </c>
      <c r="N299" s="13">
        <v>0.1</v>
      </c>
      <c r="O299" s="13">
        <v>50</v>
      </c>
      <c r="Q299" s="18">
        <v>43868</v>
      </c>
      <c r="R299" s="19">
        <v>0.27638888888888885</v>
      </c>
      <c r="S299" s="17" t="s">
        <v>18</v>
      </c>
      <c r="T299" s="17">
        <v>2.08</v>
      </c>
      <c r="U299" s="17">
        <v>75</v>
      </c>
    </row>
    <row r="300" spans="5:21" x14ac:dyDescent="0.25">
      <c r="E300" s="10">
        <v>44114</v>
      </c>
      <c r="F300" s="11">
        <v>0.6069444444444444</v>
      </c>
      <c r="G300" t="s">
        <v>9</v>
      </c>
      <c r="H300">
        <v>1.44</v>
      </c>
      <c r="I300">
        <v>75</v>
      </c>
      <c r="K300" s="14">
        <v>43976</v>
      </c>
      <c r="L300" s="15">
        <v>0.69236111111111109</v>
      </c>
      <c r="M300" s="13" t="s">
        <v>33</v>
      </c>
      <c r="N300" s="13">
        <v>0.5</v>
      </c>
      <c r="O300" s="13">
        <v>100</v>
      </c>
      <c r="Q300" s="18">
        <v>43965</v>
      </c>
      <c r="R300" s="19">
        <v>0.88611111111111107</v>
      </c>
      <c r="S300" s="17" t="s">
        <v>15</v>
      </c>
      <c r="T300" s="17">
        <v>4.26</v>
      </c>
      <c r="U300" s="17">
        <v>100</v>
      </c>
    </row>
    <row r="301" spans="5:21" x14ac:dyDescent="0.25">
      <c r="E301" s="10">
        <v>44114</v>
      </c>
      <c r="F301" s="11">
        <v>0.6791666666666667</v>
      </c>
      <c r="G301" t="s">
        <v>9</v>
      </c>
      <c r="H301">
        <v>0.96</v>
      </c>
      <c r="I301">
        <v>90</v>
      </c>
      <c r="K301" s="14">
        <v>43979</v>
      </c>
      <c r="L301" s="15">
        <v>0.74722222222222223</v>
      </c>
      <c r="M301" s="13" t="s">
        <v>33</v>
      </c>
      <c r="N301" s="13">
        <v>0.1</v>
      </c>
      <c r="O301" s="13">
        <v>50</v>
      </c>
      <c r="Q301" s="18">
        <v>43977</v>
      </c>
      <c r="R301" s="19">
        <v>0.76041666666666663</v>
      </c>
      <c r="S301" s="17" t="s">
        <v>8</v>
      </c>
      <c r="T301" s="17">
        <v>0.26</v>
      </c>
      <c r="U301" s="17">
        <v>25</v>
      </c>
    </row>
    <row r="302" spans="5:21" x14ac:dyDescent="0.25">
      <c r="E302" s="10">
        <v>44114</v>
      </c>
      <c r="F302" s="11">
        <v>0.77986111111111101</v>
      </c>
      <c r="G302" t="s">
        <v>9</v>
      </c>
      <c r="H302">
        <v>0.66</v>
      </c>
      <c r="I302">
        <v>200</v>
      </c>
      <c r="K302" s="14">
        <v>44023</v>
      </c>
      <c r="L302" s="15">
        <v>0.96111111111111114</v>
      </c>
      <c r="M302" s="13" t="s">
        <v>33</v>
      </c>
      <c r="N302" s="13">
        <v>0.2</v>
      </c>
      <c r="O302" s="13">
        <v>10</v>
      </c>
      <c r="Q302" s="18">
        <v>44030</v>
      </c>
      <c r="R302" s="19">
        <v>0.86249999999999993</v>
      </c>
      <c r="S302" s="17" t="s">
        <v>8</v>
      </c>
      <c r="T302" s="17">
        <v>2.85</v>
      </c>
      <c r="U302" s="17">
        <v>180</v>
      </c>
    </row>
    <row r="303" spans="5:21" x14ac:dyDescent="0.25">
      <c r="E303" s="10">
        <v>44114</v>
      </c>
      <c r="F303" s="11">
        <v>0.73958333333333337</v>
      </c>
      <c r="G303" t="s">
        <v>9</v>
      </c>
      <c r="H303">
        <v>0.56000000000000005</v>
      </c>
      <c r="I303">
        <v>150</v>
      </c>
      <c r="K303" s="14">
        <v>44159</v>
      </c>
      <c r="L303" s="15">
        <v>0.87083333333333324</v>
      </c>
      <c r="M303" s="13" t="s">
        <v>33</v>
      </c>
      <c r="N303" s="13">
        <v>3</v>
      </c>
      <c r="O303" s="13">
        <v>200</v>
      </c>
      <c r="Q303" s="18">
        <v>43968</v>
      </c>
      <c r="R303" s="19">
        <v>0.7090277777777777</v>
      </c>
      <c r="S303" s="17" t="s">
        <v>26</v>
      </c>
      <c r="T303" s="17">
        <v>1.03</v>
      </c>
      <c r="U303" s="17">
        <v>10</v>
      </c>
    </row>
    <row r="304" spans="5:21" x14ac:dyDescent="0.25">
      <c r="E304" s="10">
        <v>44114</v>
      </c>
      <c r="F304" s="11">
        <v>0.67499999999999993</v>
      </c>
      <c r="G304" t="s">
        <v>9</v>
      </c>
      <c r="H304">
        <v>0.35</v>
      </c>
      <c r="I304">
        <v>90</v>
      </c>
      <c r="K304" s="14">
        <v>44159</v>
      </c>
      <c r="L304" s="15">
        <v>0.90972222222222221</v>
      </c>
      <c r="M304" s="13" t="s">
        <v>33</v>
      </c>
      <c r="N304" s="13">
        <v>4</v>
      </c>
      <c r="O304" s="13">
        <v>250</v>
      </c>
      <c r="Q304" s="18">
        <v>44188</v>
      </c>
      <c r="R304" s="19">
        <v>0.7909722222222223</v>
      </c>
      <c r="S304" s="17" t="s">
        <v>6</v>
      </c>
      <c r="T304" s="17">
        <v>0.39</v>
      </c>
      <c r="U304" s="17">
        <v>45</v>
      </c>
    </row>
    <row r="305" spans="5:21" x14ac:dyDescent="0.25">
      <c r="E305" s="10">
        <v>43918</v>
      </c>
      <c r="F305" s="11">
        <v>0.54097222222222219</v>
      </c>
      <c r="G305" t="s">
        <v>23</v>
      </c>
      <c r="H305">
        <v>7.47</v>
      </c>
      <c r="I305">
        <v>115</v>
      </c>
      <c r="K305" s="14">
        <v>43841</v>
      </c>
      <c r="L305" s="15">
        <v>0.88263888888888886</v>
      </c>
      <c r="M305" s="13" t="s">
        <v>27</v>
      </c>
      <c r="N305" s="13">
        <v>3.1</v>
      </c>
      <c r="O305" s="13">
        <v>350</v>
      </c>
      <c r="Q305" s="18">
        <v>43929</v>
      </c>
      <c r="R305" s="19">
        <v>0.89236111111111116</v>
      </c>
      <c r="S305" s="17" t="s">
        <v>11</v>
      </c>
      <c r="T305" s="17">
        <v>1.2</v>
      </c>
      <c r="U305" s="17">
        <v>50</v>
      </c>
    </row>
    <row r="306" spans="5:21" x14ac:dyDescent="0.25">
      <c r="E306" s="10">
        <v>43918</v>
      </c>
      <c r="F306" s="11">
        <v>0.71875</v>
      </c>
      <c r="G306" t="s">
        <v>23</v>
      </c>
      <c r="H306">
        <v>7.38</v>
      </c>
      <c r="I306">
        <v>50</v>
      </c>
      <c r="K306" s="14">
        <v>43841</v>
      </c>
      <c r="L306" s="15">
        <v>0.88541666666666663</v>
      </c>
      <c r="M306" s="13" t="s">
        <v>27</v>
      </c>
      <c r="N306" s="13">
        <v>6.34</v>
      </c>
      <c r="O306" s="13">
        <v>175</v>
      </c>
      <c r="Q306" s="18">
        <v>44188</v>
      </c>
      <c r="R306" s="19">
        <v>0.98333333333333339</v>
      </c>
      <c r="S306" s="17" t="s">
        <v>24</v>
      </c>
      <c r="T306" s="17">
        <v>3.44</v>
      </c>
      <c r="U306" s="17">
        <v>100</v>
      </c>
    </row>
    <row r="307" spans="5:21" x14ac:dyDescent="0.25">
      <c r="E307" s="10">
        <v>43918</v>
      </c>
      <c r="F307" s="11">
        <v>0.72916666666666663</v>
      </c>
      <c r="G307" t="s">
        <v>23</v>
      </c>
      <c r="H307">
        <v>3.93</v>
      </c>
      <c r="I307">
        <v>140</v>
      </c>
      <c r="K307" s="14">
        <v>43928</v>
      </c>
      <c r="L307" s="15">
        <v>0.91111111111111109</v>
      </c>
      <c r="M307" s="13" t="s">
        <v>27</v>
      </c>
      <c r="N307" s="13">
        <v>9.81</v>
      </c>
      <c r="O307" s="13">
        <v>100</v>
      </c>
      <c r="Q307" s="18">
        <v>44058</v>
      </c>
      <c r="R307" s="19">
        <v>0.65347222222222223</v>
      </c>
      <c r="S307" s="17" t="s">
        <v>25</v>
      </c>
      <c r="T307" s="17">
        <v>3.16</v>
      </c>
      <c r="U307" s="17">
        <v>156</v>
      </c>
    </row>
    <row r="308" spans="5:21" x14ac:dyDescent="0.25">
      <c r="E308" s="10">
        <v>43918</v>
      </c>
      <c r="F308" s="11">
        <v>0.80902777777777779</v>
      </c>
      <c r="G308" t="s">
        <v>23</v>
      </c>
      <c r="H308">
        <v>3.8</v>
      </c>
      <c r="I308">
        <v>50</v>
      </c>
      <c r="K308" s="14">
        <v>43928</v>
      </c>
      <c r="L308" s="15">
        <v>0.94236111111111109</v>
      </c>
      <c r="M308" s="13" t="s">
        <v>27</v>
      </c>
      <c r="N308" s="13">
        <v>2.96</v>
      </c>
      <c r="O308" s="13">
        <v>100</v>
      </c>
      <c r="Q308" s="18">
        <v>43928</v>
      </c>
      <c r="R308" s="19">
        <v>0.94236111111111109</v>
      </c>
      <c r="S308" s="17" t="s">
        <v>27</v>
      </c>
      <c r="T308" s="17">
        <v>2.96</v>
      </c>
      <c r="U308" s="17">
        <v>100</v>
      </c>
    </row>
    <row r="309" spans="5:21" x14ac:dyDescent="0.25">
      <c r="E309" s="10">
        <v>43918</v>
      </c>
      <c r="F309" s="11">
        <v>0.73611111111111116</v>
      </c>
      <c r="G309" t="s">
        <v>23</v>
      </c>
      <c r="H309">
        <v>3.6</v>
      </c>
      <c r="I309">
        <v>50</v>
      </c>
      <c r="K309" s="14">
        <v>43928</v>
      </c>
      <c r="L309" s="15">
        <v>0.89236111111111116</v>
      </c>
      <c r="M309" s="13" t="s">
        <v>27</v>
      </c>
      <c r="N309" s="13">
        <v>11.45</v>
      </c>
      <c r="O309" s="13">
        <v>100</v>
      </c>
      <c r="Q309" s="18">
        <v>44027</v>
      </c>
      <c r="R309" s="19">
        <v>0.94444444444444453</v>
      </c>
      <c r="S309" s="17" t="s">
        <v>22</v>
      </c>
      <c r="T309" s="17">
        <v>4.33</v>
      </c>
      <c r="U309" s="17">
        <v>80</v>
      </c>
    </row>
    <row r="310" spans="5:21" x14ac:dyDescent="0.25">
      <c r="E310" s="10">
        <v>43918</v>
      </c>
      <c r="F310" s="11">
        <v>0.69374999999999998</v>
      </c>
      <c r="G310" t="s">
        <v>23</v>
      </c>
      <c r="H310">
        <v>2.3199999999999998</v>
      </c>
      <c r="I310">
        <v>40</v>
      </c>
      <c r="K310" s="14">
        <v>43928</v>
      </c>
      <c r="L310" s="15">
        <v>0.94236111111111109</v>
      </c>
      <c r="M310" s="13" t="s">
        <v>27</v>
      </c>
      <c r="N310" s="13">
        <v>3.82</v>
      </c>
      <c r="O310" s="13">
        <v>100</v>
      </c>
      <c r="Q310" s="18">
        <v>44020</v>
      </c>
      <c r="R310" s="19">
        <v>0.75277777777777777</v>
      </c>
      <c r="S310" s="17" t="s">
        <v>7</v>
      </c>
      <c r="T310" s="17">
        <v>0.01</v>
      </c>
      <c r="U310" s="17">
        <v>50</v>
      </c>
    </row>
    <row r="311" spans="5:21" x14ac:dyDescent="0.25">
      <c r="E311" s="10">
        <v>43918</v>
      </c>
      <c r="F311" s="11">
        <v>0.7006944444444444</v>
      </c>
      <c r="G311" t="s">
        <v>23</v>
      </c>
      <c r="H311">
        <v>2.06</v>
      </c>
      <c r="I311">
        <v>115</v>
      </c>
      <c r="K311" s="14">
        <v>43928</v>
      </c>
      <c r="L311" s="15">
        <v>0.92361111111111116</v>
      </c>
      <c r="M311" s="13" t="s">
        <v>27</v>
      </c>
      <c r="N311" s="13">
        <v>15.74</v>
      </c>
      <c r="O311" s="13">
        <v>100</v>
      </c>
      <c r="Q311" s="18">
        <v>43974</v>
      </c>
      <c r="R311" s="19">
        <v>0.63750000000000007</v>
      </c>
      <c r="S311" s="17" t="s">
        <v>15</v>
      </c>
      <c r="T311" s="17">
        <v>0.53</v>
      </c>
      <c r="U311" s="17">
        <v>20</v>
      </c>
    </row>
    <row r="312" spans="5:21" x14ac:dyDescent="0.25">
      <c r="E312" s="10">
        <v>43918</v>
      </c>
      <c r="F312" s="11">
        <v>0.6430555555555556</v>
      </c>
      <c r="G312" t="s">
        <v>23</v>
      </c>
      <c r="H312">
        <v>1.3</v>
      </c>
      <c r="I312">
        <v>75</v>
      </c>
      <c r="K312" s="14">
        <v>43928</v>
      </c>
      <c r="L312" s="15">
        <v>0.93958333333333333</v>
      </c>
      <c r="M312" s="13" t="s">
        <v>27</v>
      </c>
      <c r="N312" s="13">
        <v>5.48</v>
      </c>
      <c r="O312" s="13">
        <v>250</v>
      </c>
      <c r="Q312" s="18">
        <v>44051</v>
      </c>
      <c r="R312" s="19">
        <v>0.77083333333333337</v>
      </c>
      <c r="S312" s="17" t="s">
        <v>28</v>
      </c>
      <c r="T312" s="17">
        <v>0.23</v>
      </c>
      <c r="U312" s="17">
        <v>50</v>
      </c>
    </row>
    <row r="313" spans="5:21" x14ac:dyDescent="0.25">
      <c r="E313" s="10">
        <v>43918</v>
      </c>
      <c r="F313" s="11">
        <v>0.70486111111111116</v>
      </c>
      <c r="G313" t="s">
        <v>23</v>
      </c>
      <c r="H313">
        <v>0.32</v>
      </c>
      <c r="I313">
        <v>20</v>
      </c>
      <c r="K313" s="14">
        <v>43929</v>
      </c>
      <c r="L313" s="15">
        <v>0.87222222222222223</v>
      </c>
      <c r="M313" s="13" t="s">
        <v>27</v>
      </c>
      <c r="N313" s="13">
        <v>2.4</v>
      </c>
      <c r="O313" s="13">
        <v>50</v>
      </c>
      <c r="Q313" s="18">
        <v>44146</v>
      </c>
      <c r="R313" s="19">
        <v>0.47083333333333338</v>
      </c>
      <c r="S313" s="17" t="s">
        <v>19</v>
      </c>
      <c r="T313" s="17">
        <v>0.36</v>
      </c>
      <c r="U313" s="17">
        <v>100</v>
      </c>
    </row>
    <row r="314" spans="5:21" x14ac:dyDescent="0.25">
      <c r="E314" s="10">
        <v>43974</v>
      </c>
      <c r="F314" s="11">
        <v>0.47916666666666669</v>
      </c>
      <c r="G314" t="s">
        <v>23</v>
      </c>
      <c r="H314">
        <v>7.05</v>
      </c>
      <c r="I314">
        <v>50</v>
      </c>
      <c r="K314" s="14">
        <v>43929</v>
      </c>
      <c r="L314" s="15">
        <v>0.93958333333333333</v>
      </c>
      <c r="M314" s="13" t="s">
        <v>27</v>
      </c>
      <c r="N314" s="13">
        <v>0.25</v>
      </c>
      <c r="O314" s="13">
        <v>125</v>
      </c>
      <c r="Q314" s="18">
        <v>43933</v>
      </c>
      <c r="R314" s="19">
        <v>0.71805555555555556</v>
      </c>
      <c r="S314" s="17" t="s">
        <v>20</v>
      </c>
      <c r="T314" s="17">
        <v>12.19</v>
      </c>
      <c r="U314" s="17">
        <v>875</v>
      </c>
    </row>
    <row r="315" spans="5:21" x14ac:dyDescent="0.25">
      <c r="E315" s="10">
        <v>43974</v>
      </c>
      <c r="F315" s="11">
        <v>0.49791666666666662</v>
      </c>
      <c r="G315" t="s">
        <v>23</v>
      </c>
      <c r="H315">
        <v>6.86</v>
      </c>
      <c r="I315">
        <v>30</v>
      </c>
      <c r="K315" s="14">
        <v>43929</v>
      </c>
      <c r="L315" s="15">
        <v>0.84861111111111109</v>
      </c>
      <c r="M315" s="13" t="s">
        <v>27</v>
      </c>
      <c r="N315" s="13">
        <v>6.2</v>
      </c>
      <c r="O315" s="13">
        <v>300</v>
      </c>
      <c r="Q315" s="18">
        <v>43840</v>
      </c>
      <c r="R315" s="19">
        <v>0.77916666666666667</v>
      </c>
      <c r="S315" s="17" t="s">
        <v>6</v>
      </c>
      <c r="T315" s="17">
        <v>1.1000000000000001</v>
      </c>
      <c r="U315" s="17">
        <v>175</v>
      </c>
    </row>
    <row r="316" spans="5:21" x14ac:dyDescent="0.25">
      <c r="E316" s="10">
        <v>43974</v>
      </c>
      <c r="F316" s="11">
        <v>0.53680555555555554</v>
      </c>
      <c r="G316" t="s">
        <v>23</v>
      </c>
      <c r="H316">
        <v>1.45</v>
      </c>
      <c r="I316">
        <v>20</v>
      </c>
      <c r="K316" s="14">
        <v>43929</v>
      </c>
      <c r="L316" s="15">
        <v>0.87569444444444444</v>
      </c>
      <c r="M316" s="13" t="s">
        <v>27</v>
      </c>
      <c r="N316" s="13">
        <v>0.88</v>
      </c>
      <c r="O316" s="13">
        <v>50</v>
      </c>
      <c r="Q316" s="18">
        <v>44071</v>
      </c>
      <c r="R316" s="19">
        <v>0.23124999999999998</v>
      </c>
      <c r="S316" s="17" t="s">
        <v>24</v>
      </c>
      <c r="T316" s="17">
        <v>1.1000000000000001</v>
      </c>
      <c r="U316" s="17">
        <v>50</v>
      </c>
    </row>
    <row r="317" spans="5:21" x14ac:dyDescent="0.25">
      <c r="E317" s="10">
        <v>43974</v>
      </c>
      <c r="F317" s="11">
        <v>0.51388888888888895</v>
      </c>
      <c r="G317" t="s">
        <v>23</v>
      </c>
      <c r="H317">
        <v>1.19</v>
      </c>
      <c r="I317">
        <v>20</v>
      </c>
      <c r="K317" s="14">
        <v>43929</v>
      </c>
      <c r="L317" s="15">
        <v>0.87013888888888891</v>
      </c>
      <c r="M317" s="13" t="s">
        <v>27</v>
      </c>
      <c r="N317" s="13">
        <v>0.8</v>
      </c>
      <c r="O317" s="13">
        <v>75</v>
      </c>
      <c r="Q317" s="18">
        <v>43976</v>
      </c>
      <c r="R317" s="19">
        <v>0.78125</v>
      </c>
      <c r="S317" s="17" t="s">
        <v>33</v>
      </c>
      <c r="T317" s="17">
        <v>0.3</v>
      </c>
      <c r="U317" s="17">
        <v>75</v>
      </c>
    </row>
    <row r="318" spans="5:21" x14ac:dyDescent="0.25">
      <c r="E318" s="10">
        <v>43974</v>
      </c>
      <c r="F318" s="11">
        <v>0.55833333333333335</v>
      </c>
      <c r="G318" t="s">
        <v>23</v>
      </c>
      <c r="H318">
        <v>0.04</v>
      </c>
      <c r="I318">
        <v>10</v>
      </c>
      <c r="K318" s="14">
        <v>43929</v>
      </c>
      <c r="L318" s="15">
        <v>0.86805555555555547</v>
      </c>
      <c r="M318" s="13" t="s">
        <v>27</v>
      </c>
      <c r="N318" s="13">
        <v>8.8000000000000007</v>
      </c>
      <c r="O318" s="13">
        <v>200</v>
      </c>
      <c r="Q318" s="18">
        <v>43933</v>
      </c>
      <c r="R318" s="19">
        <v>0.65</v>
      </c>
      <c r="S318" s="17" t="s">
        <v>24</v>
      </c>
      <c r="T318" s="17">
        <v>83.22</v>
      </c>
      <c r="U318" s="17">
        <v>2041</v>
      </c>
    </row>
    <row r="319" spans="5:21" x14ac:dyDescent="0.25">
      <c r="E319" s="10">
        <v>43976</v>
      </c>
      <c r="F319" s="11">
        <v>0.72638888888888886</v>
      </c>
      <c r="G319" t="s">
        <v>23</v>
      </c>
      <c r="H319">
        <v>1.56</v>
      </c>
      <c r="I319">
        <v>50</v>
      </c>
      <c r="K319" s="14">
        <v>43929</v>
      </c>
      <c r="L319" s="15">
        <v>0.85902777777777783</v>
      </c>
      <c r="M319" s="13" t="s">
        <v>27</v>
      </c>
      <c r="N319" s="13">
        <v>3.3</v>
      </c>
      <c r="O319" s="13">
        <v>350</v>
      </c>
      <c r="Q319" s="18">
        <v>43991</v>
      </c>
      <c r="R319" s="19">
        <v>0.77222222222222225</v>
      </c>
      <c r="S319" s="17" t="s">
        <v>27</v>
      </c>
      <c r="T319" s="17">
        <v>0.5</v>
      </c>
      <c r="U319" s="17">
        <v>75</v>
      </c>
    </row>
    <row r="320" spans="5:21" x14ac:dyDescent="0.25">
      <c r="E320" s="10">
        <v>43977</v>
      </c>
      <c r="F320" s="11">
        <v>0.60972222222222217</v>
      </c>
      <c r="G320" t="s">
        <v>23</v>
      </c>
      <c r="H320">
        <v>5.14</v>
      </c>
      <c r="I320">
        <v>250</v>
      </c>
      <c r="K320" s="14">
        <v>43969</v>
      </c>
      <c r="L320" s="15">
        <v>0.61736111111111114</v>
      </c>
      <c r="M320" s="13" t="s">
        <v>27</v>
      </c>
      <c r="N320" s="13">
        <v>1.92</v>
      </c>
      <c r="O320" s="13">
        <v>75</v>
      </c>
      <c r="Q320" s="18">
        <v>43867</v>
      </c>
      <c r="R320" s="19">
        <v>0.60555555555555551</v>
      </c>
      <c r="S320" s="17" t="s">
        <v>14</v>
      </c>
      <c r="T320" s="17">
        <v>2.99</v>
      </c>
      <c r="U320" s="17">
        <v>75</v>
      </c>
    </row>
    <row r="321" spans="5:21" x14ac:dyDescent="0.25">
      <c r="E321" s="10">
        <v>43977</v>
      </c>
      <c r="F321" s="11">
        <v>0.62013888888888891</v>
      </c>
      <c r="G321" t="s">
        <v>23</v>
      </c>
      <c r="H321">
        <v>2.94</v>
      </c>
      <c r="I321">
        <v>35</v>
      </c>
      <c r="K321" s="14">
        <v>43991</v>
      </c>
      <c r="L321" s="15">
        <v>0.77222222222222225</v>
      </c>
      <c r="M321" s="13" t="s">
        <v>27</v>
      </c>
      <c r="N321" s="13">
        <v>0.5</v>
      </c>
      <c r="O321" s="13">
        <v>75</v>
      </c>
      <c r="Q321" s="18">
        <v>43933</v>
      </c>
      <c r="R321" s="19">
        <v>0.88541666666666663</v>
      </c>
      <c r="S321" s="17" t="s">
        <v>9</v>
      </c>
      <c r="T321" s="17">
        <v>19.34</v>
      </c>
      <c r="U321" s="17">
        <v>1500</v>
      </c>
    </row>
    <row r="322" spans="5:21" x14ac:dyDescent="0.25">
      <c r="E322" s="10">
        <v>43977</v>
      </c>
      <c r="F322" s="11">
        <v>0.51944444444444449</v>
      </c>
      <c r="G322" t="s">
        <v>23</v>
      </c>
      <c r="H322">
        <v>1.69</v>
      </c>
      <c r="I322">
        <v>30</v>
      </c>
      <c r="K322" s="14">
        <v>43992</v>
      </c>
      <c r="L322" s="15">
        <v>0.6791666666666667</v>
      </c>
      <c r="M322" s="13" t="s">
        <v>27</v>
      </c>
      <c r="N322" s="13">
        <v>5.9</v>
      </c>
      <c r="O322" s="13">
        <v>300</v>
      </c>
      <c r="Q322" s="18">
        <v>43933</v>
      </c>
      <c r="R322" s="19">
        <v>0.33888888888888885</v>
      </c>
      <c r="S322" s="17" t="s">
        <v>6</v>
      </c>
      <c r="T322" s="17">
        <v>10.59</v>
      </c>
      <c r="U322" s="17">
        <v>100</v>
      </c>
    </row>
    <row r="323" spans="5:21" x14ac:dyDescent="0.25">
      <c r="E323" s="10">
        <v>43977</v>
      </c>
      <c r="F323" s="11">
        <v>0.51250000000000007</v>
      </c>
      <c r="G323" t="s">
        <v>23</v>
      </c>
      <c r="H323">
        <v>0.95</v>
      </c>
      <c r="I323">
        <v>40</v>
      </c>
      <c r="K323" s="14">
        <v>43992</v>
      </c>
      <c r="L323" s="15">
        <v>0.80833333333333324</v>
      </c>
      <c r="M323" s="13" t="s">
        <v>27</v>
      </c>
      <c r="N323" s="13">
        <v>0.75</v>
      </c>
      <c r="O323" s="13">
        <v>75</v>
      </c>
      <c r="Q323" s="18">
        <v>44050</v>
      </c>
      <c r="R323" s="19">
        <v>0.65277777777777779</v>
      </c>
      <c r="S323" s="17" t="s">
        <v>40</v>
      </c>
      <c r="T323" s="17">
        <v>4.17</v>
      </c>
      <c r="U323" s="17">
        <v>450</v>
      </c>
    </row>
    <row r="324" spans="5:21" x14ac:dyDescent="0.25">
      <c r="E324" s="10">
        <v>43977</v>
      </c>
      <c r="F324" s="11">
        <v>0.63611111111111118</v>
      </c>
      <c r="G324" t="s">
        <v>23</v>
      </c>
      <c r="H324">
        <v>0.66</v>
      </c>
      <c r="I324">
        <v>20</v>
      </c>
      <c r="K324" s="14">
        <v>43992</v>
      </c>
      <c r="L324" s="15">
        <v>0.7993055555555556</v>
      </c>
      <c r="M324" s="13" t="s">
        <v>27</v>
      </c>
      <c r="N324" s="13">
        <v>2.4300000000000002</v>
      </c>
      <c r="O324" s="13">
        <v>150</v>
      </c>
      <c r="Q324" s="18">
        <v>43858</v>
      </c>
      <c r="R324" s="19">
        <v>0.63541666666666663</v>
      </c>
      <c r="S324" s="17" t="s">
        <v>6</v>
      </c>
      <c r="T324" s="17">
        <v>1.74</v>
      </c>
      <c r="U324" s="17">
        <v>10</v>
      </c>
    </row>
    <row r="325" spans="5:21" x14ac:dyDescent="0.25">
      <c r="E325" s="10">
        <v>43977</v>
      </c>
      <c r="F325" s="11">
        <v>0.5444444444444444</v>
      </c>
      <c r="G325" t="s">
        <v>23</v>
      </c>
      <c r="H325">
        <v>0.6</v>
      </c>
      <c r="I325">
        <v>20</v>
      </c>
      <c r="K325" s="14">
        <v>44081</v>
      </c>
      <c r="L325" s="15">
        <v>0.63472222222222219</v>
      </c>
      <c r="M325" s="13" t="s">
        <v>27</v>
      </c>
      <c r="N325" s="13">
        <v>3.21</v>
      </c>
      <c r="O325" s="13">
        <v>150</v>
      </c>
      <c r="Q325" s="18">
        <v>43893</v>
      </c>
      <c r="R325" s="19">
        <v>0.26944444444444443</v>
      </c>
      <c r="S325" s="17" t="s">
        <v>20</v>
      </c>
      <c r="T325" s="17">
        <v>6.21</v>
      </c>
      <c r="U325" s="17">
        <v>525</v>
      </c>
    </row>
    <row r="326" spans="5:21" x14ac:dyDescent="0.25">
      <c r="E326" s="10">
        <v>43977</v>
      </c>
      <c r="F326" s="11">
        <v>0.55694444444444446</v>
      </c>
      <c r="G326" t="s">
        <v>23</v>
      </c>
      <c r="H326">
        <v>0.21</v>
      </c>
      <c r="I326">
        <v>20</v>
      </c>
      <c r="K326" s="14">
        <v>43966</v>
      </c>
      <c r="L326" s="15">
        <v>0.66597222222222219</v>
      </c>
      <c r="M326" s="13" t="s">
        <v>36</v>
      </c>
      <c r="N326" s="13">
        <v>1.78</v>
      </c>
      <c r="O326" s="13">
        <v>50</v>
      </c>
      <c r="Q326" s="18">
        <v>43933</v>
      </c>
      <c r="R326" s="19">
        <v>0.89027777777777783</v>
      </c>
      <c r="S326" s="17" t="s">
        <v>20</v>
      </c>
      <c r="T326" s="17">
        <v>3.56</v>
      </c>
      <c r="U326" s="17">
        <v>110</v>
      </c>
    </row>
    <row r="327" spans="5:21" x14ac:dyDescent="0.25">
      <c r="E327" s="10">
        <v>44000</v>
      </c>
      <c r="F327" s="11">
        <v>0.73402777777777783</v>
      </c>
      <c r="G327" t="s">
        <v>23</v>
      </c>
      <c r="H327">
        <v>0.72</v>
      </c>
      <c r="I327">
        <v>30</v>
      </c>
      <c r="K327" s="14">
        <v>43980</v>
      </c>
      <c r="L327" s="15">
        <v>0.66111111111111109</v>
      </c>
      <c r="M327" s="13" t="s">
        <v>36</v>
      </c>
      <c r="N327" s="13">
        <v>8.58</v>
      </c>
      <c r="O327" s="13">
        <v>433</v>
      </c>
      <c r="Q327" s="18">
        <v>43867</v>
      </c>
      <c r="R327" s="19">
        <v>0.47986111111111113</v>
      </c>
      <c r="S327" s="17" t="s">
        <v>14</v>
      </c>
      <c r="T327" s="17">
        <v>0.38</v>
      </c>
      <c r="U327" s="17">
        <v>100</v>
      </c>
    </row>
    <row r="328" spans="5:21" x14ac:dyDescent="0.25">
      <c r="E328" s="10">
        <v>44053</v>
      </c>
      <c r="F328" s="11">
        <v>0.44375000000000003</v>
      </c>
      <c r="G328" t="s">
        <v>23</v>
      </c>
      <c r="H328">
        <v>2.88</v>
      </c>
      <c r="I328">
        <v>100</v>
      </c>
      <c r="K328" s="14">
        <v>44028</v>
      </c>
      <c r="L328" s="15">
        <v>0.59375</v>
      </c>
      <c r="M328" s="13" t="s">
        <v>36</v>
      </c>
      <c r="N328" s="13">
        <v>1.75</v>
      </c>
      <c r="O328" s="13">
        <v>50</v>
      </c>
      <c r="Q328" s="18">
        <v>43933</v>
      </c>
      <c r="R328" s="19">
        <v>0.33749999999999997</v>
      </c>
      <c r="S328" s="17" t="s">
        <v>6</v>
      </c>
      <c r="T328" s="17">
        <v>0.74</v>
      </c>
      <c r="U328" s="17">
        <v>30</v>
      </c>
    </row>
    <row r="329" spans="5:21" x14ac:dyDescent="0.25">
      <c r="E329" s="10">
        <v>44053</v>
      </c>
      <c r="F329" s="11">
        <v>0.45902777777777781</v>
      </c>
      <c r="G329" t="s">
        <v>23</v>
      </c>
      <c r="H329">
        <v>1.48</v>
      </c>
      <c r="I329">
        <v>40</v>
      </c>
      <c r="K329" s="14">
        <v>44028</v>
      </c>
      <c r="L329" s="15">
        <v>0.61805555555555558</v>
      </c>
      <c r="M329" s="13" t="s">
        <v>36</v>
      </c>
      <c r="N329" s="13">
        <v>1.5</v>
      </c>
      <c r="O329" s="13">
        <v>35</v>
      </c>
      <c r="Q329" s="18">
        <v>43933</v>
      </c>
      <c r="R329" s="19">
        <v>0.76041666666666663</v>
      </c>
      <c r="S329" s="17" t="s">
        <v>9</v>
      </c>
      <c r="T329" s="17">
        <v>14.73</v>
      </c>
      <c r="U329" s="17">
        <v>800</v>
      </c>
    </row>
    <row r="330" spans="5:21" x14ac:dyDescent="0.25">
      <c r="E330" s="10">
        <v>44053</v>
      </c>
      <c r="F330" s="11">
        <v>0.4375</v>
      </c>
      <c r="G330" t="s">
        <v>23</v>
      </c>
      <c r="H330">
        <v>1.03</v>
      </c>
      <c r="I330">
        <v>50</v>
      </c>
      <c r="K330" s="14">
        <v>44041</v>
      </c>
      <c r="L330" s="15">
        <v>0.70347222222222217</v>
      </c>
      <c r="M330" s="13" t="s">
        <v>36</v>
      </c>
      <c r="N330" s="13">
        <v>4.2</v>
      </c>
      <c r="O330" s="13">
        <v>100</v>
      </c>
      <c r="Q330" s="18">
        <v>44022</v>
      </c>
      <c r="R330" s="19">
        <v>0.77916666666666667</v>
      </c>
      <c r="S330" s="17" t="s">
        <v>16</v>
      </c>
      <c r="T330" s="17">
        <v>11.54</v>
      </c>
      <c r="U330" s="17">
        <v>500</v>
      </c>
    </row>
    <row r="331" spans="5:21" x14ac:dyDescent="0.25">
      <c r="E331" s="10">
        <v>44053</v>
      </c>
      <c r="F331" s="11">
        <v>0.47986111111111113</v>
      </c>
      <c r="G331" t="s">
        <v>23</v>
      </c>
      <c r="H331">
        <v>0.92</v>
      </c>
      <c r="I331">
        <v>40</v>
      </c>
      <c r="K331" s="14">
        <v>44053</v>
      </c>
      <c r="L331" s="15">
        <v>0.62847222222222221</v>
      </c>
      <c r="M331" s="13" t="s">
        <v>36</v>
      </c>
      <c r="N331" s="13">
        <v>1.5</v>
      </c>
      <c r="O331" s="13">
        <v>100</v>
      </c>
      <c r="Q331" s="18">
        <v>44091</v>
      </c>
      <c r="R331" s="19">
        <v>3.7499999999999999E-2</v>
      </c>
      <c r="S331" s="17" t="s">
        <v>9</v>
      </c>
      <c r="T331" s="17">
        <v>2.66</v>
      </c>
      <c r="U331" s="17">
        <v>150</v>
      </c>
    </row>
    <row r="332" spans="5:21" x14ac:dyDescent="0.25">
      <c r="E332" s="10">
        <v>44053</v>
      </c>
      <c r="F332" s="11">
        <v>0.44166666666666665</v>
      </c>
      <c r="G332" t="s">
        <v>23</v>
      </c>
      <c r="H332">
        <v>0.42</v>
      </c>
      <c r="I332">
        <v>50</v>
      </c>
      <c r="K332" s="14">
        <v>44070</v>
      </c>
      <c r="L332" s="15">
        <v>0.67708333333333337</v>
      </c>
      <c r="M332" s="13" t="s">
        <v>36</v>
      </c>
      <c r="N332" s="13">
        <v>2.6</v>
      </c>
      <c r="O332" s="13">
        <v>600</v>
      </c>
      <c r="Q332" s="18">
        <v>43902</v>
      </c>
      <c r="R332" s="19">
        <v>0.68055555555555547</v>
      </c>
      <c r="S332" s="17" t="s">
        <v>17</v>
      </c>
      <c r="T332" s="17">
        <v>0.6</v>
      </c>
      <c r="U332" s="17">
        <v>100</v>
      </c>
    </row>
    <row r="333" spans="5:21" x14ac:dyDescent="0.25">
      <c r="E333" s="10">
        <v>43841</v>
      </c>
      <c r="F333" s="11">
        <v>8.4722222222222213E-2</v>
      </c>
      <c r="G333" t="s">
        <v>15</v>
      </c>
      <c r="H333">
        <v>0.86</v>
      </c>
      <c r="I333">
        <v>50</v>
      </c>
      <c r="K333" s="14">
        <v>44070</v>
      </c>
      <c r="L333" s="15">
        <v>0.50763888888888886</v>
      </c>
      <c r="M333" s="13" t="s">
        <v>36</v>
      </c>
      <c r="N333" s="13">
        <v>0.25</v>
      </c>
      <c r="O333" s="13">
        <v>25</v>
      </c>
      <c r="Q333" s="18">
        <v>43929</v>
      </c>
      <c r="R333" s="19">
        <v>0.86249999999999993</v>
      </c>
      <c r="S333" s="17" t="s">
        <v>11</v>
      </c>
      <c r="T333" s="17">
        <v>1.2</v>
      </c>
      <c r="U333" s="17">
        <v>100</v>
      </c>
    </row>
    <row r="334" spans="5:21" x14ac:dyDescent="0.25">
      <c r="E334" s="10">
        <v>43909</v>
      </c>
      <c r="F334" s="11">
        <v>0.61388888888888882</v>
      </c>
      <c r="G334" t="s">
        <v>15</v>
      </c>
      <c r="H334">
        <v>3.17</v>
      </c>
      <c r="I334">
        <v>125</v>
      </c>
      <c r="K334" s="14">
        <v>44072</v>
      </c>
      <c r="L334" s="15">
        <v>0.65416666666666667</v>
      </c>
      <c r="M334" s="13" t="s">
        <v>36</v>
      </c>
      <c r="N334" s="13">
        <v>2.17</v>
      </c>
      <c r="O334" s="13">
        <v>100</v>
      </c>
      <c r="Q334" s="18">
        <v>43984</v>
      </c>
      <c r="R334" s="19">
        <v>0.59305555555555556</v>
      </c>
      <c r="S334" s="17" t="s">
        <v>7</v>
      </c>
      <c r="T334" s="17">
        <v>1.1100000000000001</v>
      </c>
      <c r="U334" s="17">
        <v>30</v>
      </c>
    </row>
    <row r="335" spans="5:21" x14ac:dyDescent="0.25">
      <c r="E335" s="10">
        <v>43909</v>
      </c>
      <c r="F335" s="11">
        <v>0.64027777777777783</v>
      </c>
      <c r="G335" t="s">
        <v>15</v>
      </c>
      <c r="H335">
        <v>2.9</v>
      </c>
      <c r="I335">
        <v>300</v>
      </c>
      <c r="K335" s="14">
        <v>44072</v>
      </c>
      <c r="L335" s="15">
        <v>0.6430555555555556</v>
      </c>
      <c r="M335" s="13" t="s">
        <v>36</v>
      </c>
      <c r="N335" s="13">
        <v>0.26</v>
      </c>
      <c r="O335" s="13">
        <v>50</v>
      </c>
      <c r="Q335" s="18">
        <v>43988</v>
      </c>
      <c r="R335" s="19">
        <v>0.66180555555555554</v>
      </c>
      <c r="S335" s="17" t="s">
        <v>19</v>
      </c>
      <c r="T335" s="17">
        <v>0.25</v>
      </c>
      <c r="U335" s="17">
        <v>75</v>
      </c>
    </row>
    <row r="336" spans="5:21" x14ac:dyDescent="0.25">
      <c r="E336" s="10">
        <v>43918</v>
      </c>
      <c r="F336" s="11">
        <v>0.84236111111111101</v>
      </c>
      <c r="G336" t="s">
        <v>15</v>
      </c>
      <c r="H336">
        <v>7.03</v>
      </c>
      <c r="I336">
        <v>400</v>
      </c>
      <c r="K336" s="14">
        <v>44072</v>
      </c>
      <c r="L336" s="15">
        <v>0.7055555555555556</v>
      </c>
      <c r="M336" s="13" t="s">
        <v>36</v>
      </c>
      <c r="N336" s="13">
        <v>0.47</v>
      </c>
      <c r="O336" s="13">
        <v>100</v>
      </c>
      <c r="Q336" s="18">
        <v>44010</v>
      </c>
      <c r="R336" s="19">
        <v>0.83680555555555547</v>
      </c>
      <c r="S336" s="17" t="s">
        <v>31</v>
      </c>
      <c r="T336" s="17">
        <v>1</v>
      </c>
      <c r="U336" s="17">
        <v>100</v>
      </c>
    </row>
    <row r="337" spans="5:21" x14ac:dyDescent="0.25">
      <c r="E337" s="10">
        <v>43918</v>
      </c>
      <c r="F337" s="11">
        <v>0.83194444444444438</v>
      </c>
      <c r="G337" t="s">
        <v>15</v>
      </c>
      <c r="H337">
        <v>3.27</v>
      </c>
      <c r="I337">
        <v>50</v>
      </c>
      <c r="K337" s="14">
        <v>44111</v>
      </c>
      <c r="L337" s="15">
        <v>0.55138888888888882</v>
      </c>
      <c r="M337" s="13" t="s">
        <v>36</v>
      </c>
      <c r="N337" s="13">
        <v>0.11</v>
      </c>
      <c r="O337" s="13">
        <v>20</v>
      </c>
      <c r="Q337" s="18">
        <v>44057</v>
      </c>
      <c r="R337" s="19">
        <v>0.64583333333333337</v>
      </c>
      <c r="S337" s="17" t="s">
        <v>12</v>
      </c>
      <c r="T337" s="17">
        <v>1.24</v>
      </c>
      <c r="U337" s="17">
        <v>50</v>
      </c>
    </row>
    <row r="338" spans="5:21" x14ac:dyDescent="0.25">
      <c r="E338" s="10">
        <v>43918</v>
      </c>
      <c r="F338" s="11">
        <v>0.80555555555555547</v>
      </c>
      <c r="G338" t="s">
        <v>15</v>
      </c>
      <c r="H338">
        <v>2.17</v>
      </c>
      <c r="I338">
        <v>20</v>
      </c>
      <c r="K338" s="14">
        <v>43903</v>
      </c>
      <c r="L338" s="15">
        <v>0.63541666666666663</v>
      </c>
      <c r="M338" s="13" t="s">
        <v>42</v>
      </c>
      <c r="N338" s="13">
        <v>0.57999999999999996</v>
      </c>
      <c r="O338" s="13">
        <v>50</v>
      </c>
      <c r="Q338" s="18">
        <v>43933</v>
      </c>
      <c r="R338" s="19">
        <v>0.8881944444444444</v>
      </c>
      <c r="S338" s="17" t="s">
        <v>21</v>
      </c>
      <c r="T338" s="17">
        <v>14.41</v>
      </c>
      <c r="U338" s="17">
        <v>1500</v>
      </c>
    </row>
    <row r="339" spans="5:21" x14ac:dyDescent="0.25">
      <c r="E339" s="10">
        <v>43918</v>
      </c>
      <c r="F339" s="11">
        <v>0.79236111111111107</v>
      </c>
      <c r="G339" t="s">
        <v>15</v>
      </c>
      <c r="H339">
        <v>2.06</v>
      </c>
      <c r="I339">
        <v>100</v>
      </c>
      <c r="K339" s="14">
        <v>43907</v>
      </c>
      <c r="L339" s="15">
        <v>0.72291666666666676</v>
      </c>
      <c r="M339" s="13" t="s">
        <v>42</v>
      </c>
      <c r="N339" s="13">
        <v>0.46</v>
      </c>
      <c r="O339" s="13">
        <v>100</v>
      </c>
      <c r="Q339" s="18">
        <v>43934</v>
      </c>
      <c r="R339" s="19">
        <v>0.13958333333333334</v>
      </c>
      <c r="S339" s="17" t="s">
        <v>10</v>
      </c>
      <c r="T339" s="17">
        <v>37.880000000000003</v>
      </c>
      <c r="U339" s="17">
        <v>800</v>
      </c>
    </row>
    <row r="340" spans="5:21" x14ac:dyDescent="0.25">
      <c r="E340" s="10">
        <v>43918</v>
      </c>
      <c r="F340" s="11">
        <v>0.77986111111111101</v>
      </c>
      <c r="G340" t="s">
        <v>15</v>
      </c>
      <c r="H340">
        <v>1.07</v>
      </c>
      <c r="I340">
        <v>10</v>
      </c>
      <c r="K340" s="14">
        <v>43911</v>
      </c>
      <c r="L340" s="15">
        <v>0.60416666666666663</v>
      </c>
      <c r="M340" s="13" t="s">
        <v>42</v>
      </c>
      <c r="N340" s="13">
        <v>0.49</v>
      </c>
      <c r="O340" s="13">
        <v>40</v>
      </c>
      <c r="Q340" s="18">
        <v>44036</v>
      </c>
      <c r="R340" s="19">
        <v>0.49652777777777773</v>
      </c>
      <c r="S340" s="17" t="s">
        <v>30</v>
      </c>
      <c r="T340" s="17">
        <v>0.98</v>
      </c>
      <c r="U340" s="17">
        <v>50</v>
      </c>
    </row>
    <row r="341" spans="5:21" x14ac:dyDescent="0.25">
      <c r="E341" s="10">
        <v>43918</v>
      </c>
      <c r="F341" s="11">
        <v>0.69374999999999998</v>
      </c>
      <c r="G341" t="s">
        <v>15</v>
      </c>
      <c r="H341">
        <v>0.12</v>
      </c>
      <c r="I341">
        <v>10</v>
      </c>
      <c r="K341" s="14">
        <v>44016</v>
      </c>
      <c r="L341" s="15">
        <v>0.6875</v>
      </c>
      <c r="M341" s="13" t="s">
        <v>42</v>
      </c>
      <c r="N341" s="13">
        <v>0.04</v>
      </c>
      <c r="O341" s="13">
        <v>30</v>
      </c>
      <c r="Q341" s="18">
        <v>43918</v>
      </c>
      <c r="R341" s="19">
        <v>0.68402777777777779</v>
      </c>
      <c r="S341" s="17" t="s">
        <v>29</v>
      </c>
      <c r="T341" s="17">
        <v>2.97</v>
      </c>
      <c r="U341" s="17">
        <v>100</v>
      </c>
    </row>
    <row r="342" spans="5:21" x14ac:dyDescent="0.25">
      <c r="E342" s="10">
        <v>43949</v>
      </c>
      <c r="F342" s="11">
        <v>0.74722222222222223</v>
      </c>
      <c r="G342" t="s">
        <v>15</v>
      </c>
      <c r="H342">
        <v>2.1</v>
      </c>
      <c r="I342">
        <v>100</v>
      </c>
      <c r="K342" s="14">
        <v>44027</v>
      </c>
      <c r="L342" s="15">
        <v>0.75208333333333333</v>
      </c>
      <c r="M342" s="13" t="s">
        <v>42</v>
      </c>
      <c r="N342" s="13">
        <v>0.35</v>
      </c>
      <c r="O342" s="13">
        <v>30</v>
      </c>
      <c r="Q342" s="18">
        <v>44029</v>
      </c>
      <c r="R342" s="19">
        <v>0.99930555555555556</v>
      </c>
      <c r="S342" s="17" t="s">
        <v>8</v>
      </c>
      <c r="T342" s="17">
        <v>2.96</v>
      </c>
      <c r="U342" s="17">
        <v>150</v>
      </c>
    </row>
    <row r="343" spans="5:21" x14ac:dyDescent="0.25">
      <c r="E343" s="10">
        <v>43965</v>
      </c>
      <c r="F343" s="11">
        <v>0.88611111111111107</v>
      </c>
      <c r="G343" t="s">
        <v>15</v>
      </c>
      <c r="H343">
        <v>4.26</v>
      </c>
      <c r="I343">
        <v>100</v>
      </c>
      <c r="K343" s="14">
        <v>44058</v>
      </c>
      <c r="L343" s="15">
        <v>0.6875</v>
      </c>
      <c r="M343" s="13" t="s">
        <v>42</v>
      </c>
      <c r="N343" s="13">
        <v>0.01</v>
      </c>
      <c r="O343" s="13">
        <v>20</v>
      </c>
      <c r="Q343" s="18">
        <v>43954</v>
      </c>
      <c r="R343" s="19">
        <v>0.53888888888888886</v>
      </c>
      <c r="S343" s="17" t="s">
        <v>17</v>
      </c>
      <c r="T343" s="17">
        <v>5.84</v>
      </c>
      <c r="U343" s="17">
        <v>150</v>
      </c>
    </row>
    <row r="344" spans="5:21" x14ac:dyDescent="0.25">
      <c r="E344" s="10">
        <v>43968</v>
      </c>
      <c r="F344" s="11">
        <v>0.62916666666666665</v>
      </c>
      <c r="G344" t="s">
        <v>15</v>
      </c>
      <c r="H344">
        <v>4.04</v>
      </c>
      <c r="I344">
        <v>75</v>
      </c>
      <c r="K344" s="14">
        <v>43942</v>
      </c>
      <c r="L344" s="15">
        <v>0.54513888888888895</v>
      </c>
      <c r="M344" s="13" t="s">
        <v>37</v>
      </c>
      <c r="N344" s="13">
        <v>0.41</v>
      </c>
      <c r="O344" s="13">
        <v>20</v>
      </c>
      <c r="Q344" s="18">
        <v>43976</v>
      </c>
      <c r="R344" s="19">
        <v>0.77361111111111114</v>
      </c>
      <c r="S344" s="17" t="s">
        <v>33</v>
      </c>
      <c r="T344" s="17">
        <v>0.1</v>
      </c>
      <c r="U344" s="17">
        <v>50</v>
      </c>
    </row>
    <row r="345" spans="5:21" x14ac:dyDescent="0.25">
      <c r="E345" s="10">
        <v>43968</v>
      </c>
      <c r="F345" s="11">
        <v>0.59375</v>
      </c>
      <c r="G345" t="s">
        <v>15</v>
      </c>
      <c r="H345">
        <v>0.69</v>
      </c>
      <c r="I345">
        <v>25</v>
      </c>
      <c r="K345" s="14">
        <v>44047</v>
      </c>
      <c r="L345" s="15">
        <v>0.32291666666666669</v>
      </c>
      <c r="M345" s="13" t="s">
        <v>37</v>
      </c>
      <c r="N345" s="13">
        <v>4.24</v>
      </c>
      <c r="O345" s="13">
        <v>150</v>
      </c>
      <c r="Q345" s="18">
        <v>43943</v>
      </c>
      <c r="R345" s="19">
        <v>0.74375000000000002</v>
      </c>
      <c r="S345" s="17" t="s">
        <v>6</v>
      </c>
      <c r="T345" s="17">
        <v>10.4</v>
      </c>
      <c r="U345" s="17">
        <v>810</v>
      </c>
    </row>
    <row r="346" spans="5:21" x14ac:dyDescent="0.25">
      <c r="E346" s="10">
        <v>43968</v>
      </c>
      <c r="F346" s="11">
        <v>0.68472222222222223</v>
      </c>
      <c r="G346" t="s">
        <v>15</v>
      </c>
      <c r="H346">
        <v>0.52</v>
      </c>
      <c r="I346">
        <v>25</v>
      </c>
      <c r="K346" s="14">
        <v>44047</v>
      </c>
      <c r="L346" s="15">
        <v>0.36805555555555558</v>
      </c>
      <c r="M346" s="13" t="s">
        <v>37</v>
      </c>
      <c r="N346" s="13">
        <v>3.32</v>
      </c>
      <c r="O346" s="13">
        <v>100</v>
      </c>
      <c r="Q346" s="18">
        <v>44026</v>
      </c>
      <c r="R346" s="19">
        <v>0.69791666666666663</v>
      </c>
      <c r="S346" s="17" t="s">
        <v>19</v>
      </c>
      <c r="T346" s="17">
        <v>0.25</v>
      </c>
      <c r="U346" s="17">
        <v>25</v>
      </c>
    </row>
    <row r="347" spans="5:21" x14ac:dyDescent="0.25">
      <c r="E347" s="10">
        <v>43970</v>
      </c>
      <c r="F347" s="11">
        <v>0.71319444444444446</v>
      </c>
      <c r="G347" t="s">
        <v>15</v>
      </c>
      <c r="H347">
        <v>0.88</v>
      </c>
      <c r="I347">
        <v>25</v>
      </c>
      <c r="K347" s="14">
        <v>44062</v>
      </c>
      <c r="L347" s="15">
        <v>0.33124999999999999</v>
      </c>
      <c r="M347" s="13" t="s">
        <v>37</v>
      </c>
      <c r="N347" s="13">
        <v>1.2</v>
      </c>
      <c r="O347" s="13">
        <v>70</v>
      </c>
      <c r="Q347" s="18">
        <v>43949</v>
      </c>
      <c r="R347" s="19">
        <v>0.88888888888888884</v>
      </c>
      <c r="S347" s="17" t="s">
        <v>33</v>
      </c>
      <c r="T347" s="17">
        <v>3.43</v>
      </c>
      <c r="U347" s="17">
        <v>350</v>
      </c>
    </row>
    <row r="348" spans="5:21" x14ac:dyDescent="0.25">
      <c r="E348" s="10">
        <v>43974</v>
      </c>
      <c r="F348" s="11">
        <v>0.56180555555555556</v>
      </c>
      <c r="G348" t="s">
        <v>15</v>
      </c>
      <c r="H348">
        <v>12.25</v>
      </c>
      <c r="I348">
        <v>30</v>
      </c>
      <c r="K348" s="14">
        <v>44065</v>
      </c>
      <c r="L348" s="15">
        <v>0.50347222222222221</v>
      </c>
      <c r="M348" s="13" t="s">
        <v>44</v>
      </c>
      <c r="N348" s="13">
        <v>1.65</v>
      </c>
      <c r="O348" s="13">
        <v>50</v>
      </c>
      <c r="Q348" s="18">
        <v>44047</v>
      </c>
      <c r="R348" s="19">
        <v>0.36388888888888887</v>
      </c>
      <c r="S348" s="17" t="s">
        <v>34</v>
      </c>
      <c r="T348" s="17">
        <v>3.14</v>
      </c>
      <c r="U348" s="17">
        <v>200</v>
      </c>
    </row>
    <row r="349" spans="5:21" x14ac:dyDescent="0.25">
      <c r="E349" s="10">
        <v>43974</v>
      </c>
      <c r="F349" s="11">
        <v>0.57847222222222217</v>
      </c>
      <c r="G349" t="s">
        <v>15</v>
      </c>
      <c r="H349">
        <v>6.3</v>
      </c>
      <c r="I349">
        <v>100</v>
      </c>
      <c r="K349" s="14">
        <v>44065</v>
      </c>
      <c r="L349" s="15">
        <v>0.44791666666666669</v>
      </c>
      <c r="M349" s="13" t="s">
        <v>44</v>
      </c>
      <c r="N349" s="13">
        <v>1.54</v>
      </c>
      <c r="O349" s="13">
        <v>50</v>
      </c>
      <c r="Q349" s="18">
        <v>44052</v>
      </c>
      <c r="R349" s="19">
        <v>0.87222222222222223</v>
      </c>
      <c r="S349" s="17" t="s">
        <v>13</v>
      </c>
      <c r="T349" s="17">
        <v>3.8</v>
      </c>
      <c r="U349" s="17">
        <v>250</v>
      </c>
    </row>
    <row r="350" spans="5:21" x14ac:dyDescent="0.25">
      <c r="E350" s="10">
        <v>43974</v>
      </c>
      <c r="F350" s="11">
        <v>0.53749999999999998</v>
      </c>
      <c r="G350" t="s">
        <v>15</v>
      </c>
      <c r="H350">
        <v>3.46</v>
      </c>
      <c r="I350">
        <v>75</v>
      </c>
      <c r="K350" s="14">
        <v>43973</v>
      </c>
      <c r="L350" s="15">
        <v>0.67152777777777783</v>
      </c>
      <c r="M350" s="13" t="s">
        <v>28</v>
      </c>
      <c r="N350" s="13">
        <v>0.03</v>
      </c>
      <c r="O350" s="13">
        <v>50</v>
      </c>
      <c r="Q350" s="18">
        <v>44189</v>
      </c>
      <c r="R350" s="19">
        <v>0.93611111111111101</v>
      </c>
      <c r="S350" s="17" t="s">
        <v>35</v>
      </c>
      <c r="T350" s="17">
        <v>2.2000000000000002</v>
      </c>
      <c r="U350" s="17">
        <v>200</v>
      </c>
    </row>
    <row r="351" spans="5:21" x14ac:dyDescent="0.25">
      <c r="E351" s="10">
        <v>43974</v>
      </c>
      <c r="F351" s="11">
        <v>0.71250000000000002</v>
      </c>
      <c r="G351" t="s">
        <v>15</v>
      </c>
      <c r="H351">
        <v>3.2</v>
      </c>
      <c r="I351">
        <v>50</v>
      </c>
      <c r="K351" s="14">
        <v>43975</v>
      </c>
      <c r="L351" s="15">
        <v>0.72638888888888886</v>
      </c>
      <c r="M351" s="13" t="s">
        <v>28</v>
      </c>
      <c r="N351" s="13">
        <v>3.31</v>
      </c>
      <c r="O351" s="13">
        <v>40</v>
      </c>
      <c r="Q351" s="18">
        <v>44053</v>
      </c>
      <c r="R351" s="19">
        <v>0.63541666666666663</v>
      </c>
      <c r="S351" s="17" t="s">
        <v>22</v>
      </c>
      <c r="T351" s="17">
        <v>0.86</v>
      </c>
      <c r="U351" s="17">
        <v>40</v>
      </c>
    </row>
    <row r="352" spans="5:21" x14ac:dyDescent="0.25">
      <c r="E352" s="10">
        <v>43974</v>
      </c>
      <c r="F352" s="11">
        <v>0.63750000000000007</v>
      </c>
      <c r="G352" t="s">
        <v>15</v>
      </c>
      <c r="H352">
        <v>0.53</v>
      </c>
      <c r="I352">
        <v>20</v>
      </c>
      <c r="K352" s="14">
        <v>43986</v>
      </c>
      <c r="L352" s="15">
        <v>0.69791666666666663</v>
      </c>
      <c r="M352" s="13" t="s">
        <v>28</v>
      </c>
      <c r="N352" s="13">
        <v>0.82</v>
      </c>
      <c r="O352" s="13">
        <v>30</v>
      </c>
      <c r="Q352" s="18">
        <v>44046</v>
      </c>
      <c r="R352" s="19">
        <v>0.76388888888888884</v>
      </c>
      <c r="S352" s="17" t="s">
        <v>10</v>
      </c>
      <c r="T352" s="17">
        <v>0.2</v>
      </c>
      <c r="U352" s="17">
        <v>30</v>
      </c>
    </row>
    <row r="353" spans="5:21" x14ac:dyDescent="0.25">
      <c r="E353" s="10">
        <v>43974</v>
      </c>
      <c r="F353" s="11">
        <v>0.64583333333333337</v>
      </c>
      <c r="G353" t="s">
        <v>15</v>
      </c>
      <c r="H353">
        <v>0.3</v>
      </c>
      <c r="I353">
        <v>100</v>
      </c>
      <c r="K353" s="14">
        <v>43990</v>
      </c>
      <c r="L353" s="15">
        <v>0.7416666666666667</v>
      </c>
      <c r="M353" s="13" t="s">
        <v>28</v>
      </c>
      <c r="N353" s="13">
        <v>0.01</v>
      </c>
      <c r="O353" s="13">
        <v>10</v>
      </c>
      <c r="Q353" s="18">
        <v>43973</v>
      </c>
      <c r="R353" s="19">
        <v>0.85555555555555562</v>
      </c>
      <c r="S353" s="17" t="s">
        <v>33</v>
      </c>
      <c r="T353" s="17">
        <v>0.3</v>
      </c>
      <c r="U353" s="17">
        <v>50</v>
      </c>
    </row>
    <row r="354" spans="5:21" x14ac:dyDescent="0.25">
      <c r="E354" s="10">
        <v>43978</v>
      </c>
      <c r="F354" s="11">
        <v>0.77361111111111114</v>
      </c>
      <c r="G354" t="s">
        <v>15</v>
      </c>
      <c r="H354">
        <v>7.0000000000000007E-2</v>
      </c>
      <c r="I354">
        <v>10</v>
      </c>
      <c r="K354" s="14">
        <v>43990</v>
      </c>
      <c r="L354" s="15">
        <v>0.78680555555555554</v>
      </c>
      <c r="M354" s="13" t="s">
        <v>28</v>
      </c>
      <c r="N354" s="13">
        <v>0.01</v>
      </c>
      <c r="O354" s="13">
        <v>10</v>
      </c>
      <c r="Q354" s="18">
        <v>43966</v>
      </c>
      <c r="R354" s="19">
        <v>0.35972222222222222</v>
      </c>
      <c r="S354" s="17" t="s">
        <v>33</v>
      </c>
      <c r="T354" s="17">
        <v>4.8</v>
      </c>
      <c r="U354" s="17">
        <v>525</v>
      </c>
    </row>
    <row r="355" spans="5:21" x14ac:dyDescent="0.25">
      <c r="E355" s="10">
        <v>43979</v>
      </c>
      <c r="F355" s="11">
        <v>0.70138888888888884</v>
      </c>
      <c r="G355" t="s">
        <v>15</v>
      </c>
      <c r="H355">
        <v>2.88</v>
      </c>
      <c r="I355">
        <v>100</v>
      </c>
      <c r="K355" s="14">
        <v>43990</v>
      </c>
      <c r="L355" s="15">
        <v>0.80555555555555547</v>
      </c>
      <c r="M355" s="13" t="s">
        <v>28</v>
      </c>
      <c r="N355" s="13">
        <v>0.01</v>
      </c>
      <c r="O355" s="13">
        <v>10</v>
      </c>
      <c r="Q355" s="18">
        <v>43902</v>
      </c>
      <c r="R355" s="19">
        <v>0.67847222222222225</v>
      </c>
      <c r="S355" s="17" t="s">
        <v>17</v>
      </c>
      <c r="T355" s="17">
        <v>0.42</v>
      </c>
      <c r="U355" s="17">
        <v>75</v>
      </c>
    </row>
    <row r="356" spans="5:21" x14ac:dyDescent="0.25">
      <c r="E356" s="10">
        <v>43979</v>
      </c>
      <c r="F356" s="11">
        <v>0.63194444444444442</v>
      </c>
      <c r="G356" t="s">
        <v>15</v>
      </c>
      <c r="H356">
        <v>1.69</v>
      </c>
      <c r="I356">
        <v>25</v>
      </c>
      <c r="K356" s="14">
        <v>43990</v>
      </c>
      <c r="L356" s="15">
        <v>0.78194444444444444</v>
      </c>
      <c r="M356" s="13" t="s">
        <v>28</v>
      </c>
      <c r="N356" s="13">
        <v>0.01</v>
      </c>
      <c r="O356" s="13">
        <v>10</v>
      </c>
      <c r="Q356" s="18">
        <v>44019</v>
      </c>
      <c r="R356" s="19">
        <v>0.66527777777777775</v>
      </c>
      <c r="S356" s="17" t="s">
        <v>41</v>
      </c>
      <c r="T356" s="17">
        <v>0.14000000000000001</v>
      </c>
      <c r="U356" s="17">
        <v>20</v>
      </c>
    </row>
    <row r="357" spans="5:21" x14ac:dyDescent="0.25">
      <c r="E357" s="10">
        <v>43979</v>
      </c>
      <c r="F357" s="11">
        <v>0.76736111111111116</v>
      </c>
      <c r="G357" t="s">
        <v>15</v>
      </c>
      <c r="H357">
        <v>0.36</v>
      </c>
      <c r="I357">
        <v>20</v>
      </c>
      <c r="K357" s="14">
        <v>43990</v>
      </c>
      <c r="L357" s="15">
        <v>0.7680555555555556</v>
      </c>
      <c r="M357" s="13" t="s">
        <v>28</v>
      </c>
      <c r="N357" s="13">
        <v>0.01</v>
      </c>
      <c r="O357" s="13">
        <v>10</v>
      </c>
      <c r="Q357" s="18">
        <v>43971</v>
      </c>
      <c r="R357" s="19">
        <v>0.80972222222222223</v>
      </c>
      <c r="S357" s="17" t="s">
        <v>7</v>
      </c>
      <c r="T357" s="17">
        <v>1.1499999999999999</v>
      </c>
      <c r="U357" s="17">
        <v>50</v>
      </c>
    </row>
    <row r="358" spans="5:21" x14ac:dyDescent="0.25">
      <c r="E358" s="10">
        <v>43979</v>
      </c>
      <c r="F358" s="11">
        <v>0.77361111111111114</v>
      </c>
      <c r="G358" t="s">
        <v>15</v>
      </c>
      <c r="H358">
        <v>0.31</v>
      </c>
      <c r="I358">
        <v>20</v>
      </c>
      <c r="K358" s="14">
        <v>43991</v>
      </c>
      <c r="L358" s="15">
        <v>0.7104166666666667</v>
      </c>
      <c r="M358" s="13" t="s">
        <v>28</v>
      </c>
      <c r="N358" s="13">
        <v>0.1</v>
      </c>
      <c r="O358" s="13">
        <v>1</v>
      </c>
      <c r="Q358" s="18">
        <v>43934</v>
      </c>
      <c r="R358" s="19">
        <v>0.31388888888888888</v>
      </c>
      <c r="S358" s="17" t="s">
        <v>14</v>
      </c>
      <c r="T358" s="17">
        <v>0.08</v>
      </c>
      <c r="U358" s="17">
        <v>15</v>
      </c>
    </row>
    <row r="359" spans="5:21" x14ac:dyDescent="0.25">
      <c r="E359" s="10">
        <v>43991</v>
      </c>
      <c r="F359" s="11">
        <v>0.72499999999999998</v>
      </c>
      <c r="G359" t="s">
        <v>15</v>
      </c>
      <c r="H359">
        <v>4.3600000000000003</v>
      </c>
      <c r="I359">
        <v>75</v>
      </c>
      <c r="K359" s="14">
        <v>44002</v>
      </c>
      <c r="L359" s="15">
        <v>0.68402777777777779</v>
      </c>
      <c r="M359" s="13" t="s">
        <v>28</v>
      </c>
      <c r="N359" s="13">
        <v>0.01</v>
      </c>
      <c r="O359" s="13">
        <v>10</v>
      </c>
      <c r="Q359" s="18">
        <v>43933</v>
      </c>
      <c r="R359" s="19">
        <v>0.69930555555555562</v>
      </c>
      <c r="S359" s="17" t="s">
        <v>24</v>
      </c>
      <c r="T359" s="17">
        <v>2.88</v>
      </c>
      <c r="U359" s="17">
        <v>300</v>
      </c>
    </row>
    <row r="360" spans="5:21" x14ac:dyDescent="0.25">
      <c r="E360" s="10">
        <v>44016</v>
      </c>
      <c r="F360" s="11">
        <v>0.75138888888888899</v>
      </c>
      <c r="G360" t="s">
        <v>15</v>
      </c>
      <c r="H360">
        <v>0.1</v>
      </c>
      <c r="I360">
        <v>25</v>
      </c>
      <c r="K360" s="14">
        <v>44014</v>
      </c>
      <c r="L360" s="15">
        <v>0.72916666666666663</v>
      </c>
      <c r="M360" s="13" t="s">
        <v>28</v>
      </c>
      <c r="N360" s="13">
        <v>3.4</v>
      </c>
      <c r="O360" s="13">
        <v>250</v>
      </c>
      <c r="Q360" s="18">
        <v>43914</v>
      </c>
      <c r="R360" s="19">
        <v>0.69374999999999998</v>
      </c>
      <c r="S360" s="17" t="s">
        <v>20</v>
      </c>
      <c r="T360" s="17">
        <v>8.16</v>
      </c>
      <c r="U360" s="17">
        <v>200</v>
      </c>
    </row>
    <row r="361" spans="5:21" x14ac:dyDescent="0.25">
      <c r="E361" s="10">
        <v>44020</v>
      </c>
      <c r="F361" s="11">
        <v>0.62777777777777777</v>
      </c>
      <c r="G361" t="s">
        <v>15</v>
      </c>
      <c r="H361">
        <v>0.31</v>
      </c>
      <c r="I361">
        <v>10</v>
      </c>
      <c r="K361" s="14">
        <v>44020</v>
      </c>
      <c r="L361" s="15">
        <v>0.74305555555555547</v>
      </c>
      <c r="M361" s="13" t="s">
        <v>28</v>
      </c>
      <c r="N361" s="13">
        <v>0.1</v>
      </c>
      <c r="O361" s="13">
        <v>10</v>
      </c>
      <c r="Q361" s="18">
        <v>43974</v>
      </c>
      <c r="R361" s="19">
        <v>0.71805555555555556</v>
      </c>
      <c r="S361" s="17" t="s">
        <v>6</v>
      </c>
      <c r="T361" s="17">
        <v>0.38</v>
      </c>
      <c r="U361" s="17">
        <v>30</v>
      </c>
    </row>
    <row r="362" spans="5:21" x14ac:dyDescent="0.25">
      <c r="E362" s="10">
        <v>44027</v>
      </c>
      <c r="F362" s="11">
        <v>0.6791666666666667</v>
      </c>
      <c r="G362" t="s">
        <v>15</v>
      </c>
      <c r="H362">
        <v>4.53</v>
      </c>
      <c r="I362">
        <v>300</v>
      </c>
      <c r="K362" s="14">
        <v>44020</v>
      </c>
      <c r="L362" s="15">
        <v>0.78819444444444453</v>
      </c>
      <c r="M362" s="13" t="s">
        <v>28</v>
      </c>
      <c r="N362" s="13">
        <v>0.1</v>
      </c>
      <c r="O362" s="13">
        <v>10</v>
      </c>
      <c r="Q362" s="18">
        <v>43928</v>
      </c>
      <c r="R362" s="19">
        <v>0.96597222222222223</v>
      </c>
      <c r="S362" s="17" t="s">
        <v>34</v>
      </c>
      <c r="T362" s="17">
        <v>3.83</v>
      </c>
      <c r="U362" s="17">
        <v>250</v>
      </c>
    </row>
    <row r="363" spans="5:21" x14ac:dyDescent="0.25">
      <c r="E363" s="10">
        <v>44027</v>
      </c>
      <c r="F363" s="11">
        <v>0.64444444444444449</v>
      </c>
      <c r="G363" t="s">
        <v>15</v>
      </c>
      <c r="H363">
        <v>4.1399999999999997</v>
      </c>
      <c r="I363">
        <v>50</v>
      </c>
      <c r="K363" s="14">
        <v>44020</v>
      </c>
      <c r="L363" s="15">
        <v>0.93680555555555556</v>
      </c>
      <c r="M363" s="13" t="s">
        <v>28</v>
      </c>
      <c r="N363" s="13">
        <v>4.21</v>
      </c>
      <c r="O363" s="13">
        <v>130</v>
      </c>
      <c r="Q363" s="18">
        <v>44050</v>
      </c>
      <c r="R363" s="19">
        <v>0.79513888888888884</v>
      </c>
      <c r="S363" s="17" t="s">
        <v>8</v>
      </c>
      <c r="T363" s="17">
        <v>6.18</v>
      </c>
      <c r="U363" s="17">
        <v>250</v>
      </c>
    </row>
    <row r="364" spans="5:21" x14ac:dyDescent="0.25">
      <c r="E364" s="10">
        <v>44027</v>
      </c>
      <c r="F364" s="11">
        <v>0.66527777777777775</v>
      </c>
      <c r="G364" t="s">
        <v>15</v>
      </c>
      <c r="H364">
        <v>3.21</v>
      </c>
      <c r="I364">
        <v>75</v>
      </c>
      <c r="K364" s="14">
        <v>44020</v>
      </c>
      <c r="L364" s="15">
        <v>0.74652777777777779</v>
      </c>
      <c r="M364" s="13" t="s">
        <v>28</v>
      </c>
      <c r="N364" s="13">
        <v>0.1</v>
      </c>
      <c r="O364" s="13">
        <v>10</v>
      </c>
      <c r="Q364" s="18">
        <v>44189</v>
      </c>
      <c r="R364" s="19">
        <v>4.3055555555555562E-2</v>
      </c>
      <c r="S364" s="17" t="s">
        <v>24</v>
      </c>
      <c r="T364" s="17">
        <v>3.28</v>
      </c>
      <c r="U364" s="17">
        <v>100</v>
      </c>
    </row>
    <row r="365" spans="5:21" x14ac:dyDescent="0.25">
      <c r="E365" s="10">
        <v>44027</v>
      </c>
      <c r="F365" s="11">
        <v>0.67013888888888884</v>
      </c>
      <c r="G365" t="s">
        <v>15</v>
      </c>
      <c r="H365">
        <v>0.56999999999999995</v>
      </c>
      <c r="I365">
        <v>50</v>
      </c>
      <c r="K365" s="14">
        <v>44020</v>
      </c>
      <c r="L365" s="15">
        <v>0.75069444444444444</v>
      </c>
      <c r="M365" s="13" t="s">
        <v>28</v>
      </c>
      <c r="N365" s="13">
        <v>0.1</v>
      </c>
      <c r="O365" s="13">
        <v>10</v>
      </c>
      <c r="Q365" s="18">
        <v>43934</v>
      </c>
      <c r="R365" s="19">
        <v>0.26944444444444443</v>
      </c>
      <c r="S365" s="17" t="s">
        <v>10</v>
      </c>
      <c r="T365" s="17">
        <v>1.25</v>
      </c>
      <c r="U365" s="17">
        <v>120</v>
      </c>
    </row>
    <row r="366" spans="5:21" x14ac:dyDescent="0.25">
      <c r="E366" s="10">
        <v>44027</v>
      </c>
      <c r="F366" s="11">
        <v>0.62777777777777777</v>
      </c>
      <c r="G366" t="s">
        <v>15</v>
      </c>
      <c r="H366">
        <v>0.21</v>
      </c>
      <c r="I366">
        <v>10</v>
      </c>
      <c r="K366" s="14">
        <v>44051</v>
      </c>
      <c r="L366" s="15">
        <v>0.77083333333333337</v>
      </c>
      <c r="M366" s="13" t="s">
        <v>28</v>
      </c>
      <c r="N366" s="13">
        <v>0.23</v>
      </c>
      <c r="O366" s="13">
        <v>50</v>
      </c>
      <c r="Q366" s="18">
        <v>43976</v>
      </c>
      <c r="R366" s="19">
        <v>0.70694444444444438</v>
      </c>
      <c r="S366" s="17" t="s">
        <v>29</v>
      </c>
      <c r="T366" s="17">
        <v>1.3</v>
      </c>
      <c r="U366" s="17">
        <v>75</v>
      </c>
    </row>
    <row r="367" spans="5:21" x14ac:dyDescent="0.25">
      <c r="E367" s="10">
        <v>44027</v>
      </c>
      <c r="F367" s="11">
        <v>0.65763888888888888</v>
      </c>
      <c r="G367" t="s">
        <v>15</v>
      </c>
      <c r="H367">
        <v>0.15</v>
      </c>
      <c r="I367">
        <v>15</v>
      </c>
      <c r="K367" s="14">
        <v>44056</v>
      </c>
      <c r="L367" s="15">
        <v>0.76736111111111116</v>
      </c>
      <c r="M367" s="13" t="s">
        <v>28</v>
      </c>
      <c r="N367" s="13">
        <v>0.1</v>
      </c>
      <c r="O367" s="13">
        <v>10</v>
      </c>
      <c r="Q367" s="18">
        <v>43955</v>
      </c>
      <c r="R367" s="19">
        <v>0.64097222222222217</v>
      </c>
      <c r="S367" s="17" t="s">
        <v>17</v>
      </c>
      <c r="T367" s="17">
        <v>4.04</v>
      </c>
      <c r="U367" s="17">
        <v>50</v>
      </c>
    </row>
    <row r="368" spans="5:21" x14ac:dyDescent="0.25">
      <c r="E368" s="10">
        <v>44027</v>
      </c>
      <c r="F368" s="11">
        <v>0.53125</v>
      </c>
      <c r="G368" t="s">
        <v>15</v>
      </c>
      <c r="H368">
        <v>0.13</v>
      </c>
      <c r="I368">
        <v>10</v>
      </c>
      <c r="K368" s="14">
        <v>44057</v>
      </c>
      <c r="L368" s="15">
        <v>0.69166666666666676</v>
      </c>
      <c r="M368" s="13" t="s">
        <v>28</v>
      </c>
      <c r="N368" s="13">
        <v>1.23</v>
      </c>
      <c r="O368" s="13">
        <v>35</v>
      </c>
      <c r="Q368" s="18">
        <v>43944</v>
      </c>
      <c r="R368" s="19">
        <v>0.4777777777777778</v>
      </c>
      <c r="S368" s="17" t="s">
        <v>9</v>
      </c>
      <c r="T368" s="17">
        <v>2.2400000000000002</v>
      </c>
      <c r="U368" s="17">
        <v>50</v>
      </c>
    </row>
    <row r="369" spans="5:21" x14ac:dyDescent="0.25">
      <c r="E369" s="10">
        <v>44027</v>
      </c>
      <c r="F369" s="11">
        <v>0.52569444444444446</v>
      </c>
      <c r="G369" t="s">
        <v>15</v>
      </c>
      <c r="H369">
        <v>0.12</v>
      </c>
      <c r="I369">
        <v>10</v>
      </c>
      <c r="K369" s="14">
        <v>44057</v>
      </c>
      <c r="L369" s="15">
        <v>0.69027777777777777</v>
      </c>
      <c r="M369" s="13" t="s">
        <v>28</v>
      </c>
      <c r="N369" s="13">
        <v>0.75</v>
      </c>
      <c r="O369" s="13">
        <v>35</v>
      </c>
      <c r="Q369" s="18">
        <v>43929</v>
      </c>
      <c r="R369" s="19">
        <v>0.84236111111111101</v>
      </c>
      <c r="S369" s="17" t="s">
        <v>22</v>
      </c>
      <c r="T369" s="17">
        <v>5.73</v>
      </c>
      <c r="U369" s="17">
        <v>450</v>
      </c>
    </row>
    <row r="370" spans="5:21" x14ac:dyDescent="0.25">
      <c r="E370" s="10">
        <v>44032</v>
      </c>
      <c r="F370" s="11">
        <v>0.58402777777777781</v>
      </c>
      <c r="G370" t="s">
        <v>15</v>
      </c>
      <c r="H370">
        <v>0.26</v>
      </c>
      <c r="I370">
        <v>30</v>
      </c>
      <c r="K370" s="14">
        <v>44057</v>
      </c>
      <c r="L370" s="15">
        <v>0.67499999999999993</v>
      </c>
      <c r="M370" s="13" t="s">
        <v>28</v>
      </c>
      <c r="N370" s="13">
        <v>2.09</v>
      </c>
      <c r="O370" s="13">
        <v>30</v>
      </c>
      <c r="Q370" s="18">
        <v>43944</v>
      </c>
      <c r="R370" s="19">
        <v>0.4201388888888889</v>
      </c>
      <c r="S370" s="17" t="s">
        <v>9</v>
      </c>
      <c r="T370" s="17">
        <v>2.4</v>
      </c>
      <c r="U370" s="17">
        <v>176</v>
      </c>
    </row>
    <row r="371" spans="5:21" x14ac:dyDescent="0.25">
      <c r="E371" s="10">
        <v>44033</v>
      </c>
      <c r="F371" s="11">
        <v>0.62847222222222221</v>
      </c>
      <c r="G371" t="s">
        <v>15</v>
      </c>
      <c r="H371">
        <v>4.3600000000000003</v>
      </c>
      <c r="I371">
        <v>100</v>
      </c>
      <c r="K371" s="14">
        <v>44057</v>
      </c>
      <c r="L371" s="15">
        <v>0.70347222222222217</v>
      </c>
      <c r="M371" s="13" t="s">
        <v>28</v>
      </c>
      <c r="N371" s="13">
        <v>0.11</v>
      </c>
      <c r="O371" s="13">
        <v>25</v>
      </c>
      <c r="Q371" s="18">
        <v>43921</v>
      </c>
      <c r="R371" s="19">
        <v>0.7284722222222223</v>
      </c>
      <c r="S371" s="17" t="s">
        <v>19</v>
      </c>
      <c r="T371" s="17">
        <v>0.39</v>
      </c>
      <c r="U371" s="17">
        <v>704</v>
      </c>
    </row>
    <row r="372" spans="5:21" x14ac:dyDescent="0.25">
      <c r="E372" s="10">
        <v>44033</v>
      </c>
      <c r="F372" s="11">
        <v>0.63750000000000007</v>
      </c>
      <c r="G372" t="s">
        <v>15</v>
      </c>
      <c r="H372">
        <v>0.2</v>
      </c>
      <c r="I372">
        <v>10</v>
      </c>
      <c r="K372" s="14">
        <v>43974</v>
      </c>
      <c r="L372" s="15">
        <v>0.74444444444444446</v>
      </c>
      <c r="M372" s="13" t="s">
        <v>31</v>
      </c>
      <c r="N372" s="13">
        <v>0.1</v>
      </c>
      <c r="O372" s="13">
        <v>20</v>
      </c>
      <c r="Q372" s="18">
        <v>44020</v>
      </c>
      <c r="R372" s="19">
        <v>0.75277777777777777</v>
      </c>
      <c r="S372" s="17" t="s">
        <v>7</v>
      </c>
      <c r="T372" s="17">
        <v>0.01</v>
      </c>
      <c r="U372" s="17">
        <v>50</v>
      </c>
    </row>
    <row r="373" spans="5:21" x14ac:dyDescent="0.25">
      <c r="E373" s="10">
        <v>44053</v>
      </c>
      <c r="F373" s="11">
        <v>0.59375</v>
      </c>
      <c r="G373" t="s">
        <v>15</v>
      </c>
      <c r="H373">
        <v>14.45</v>
      </c>
      <c r="I373">
        <v>250</v>
      </c>
      <c r="K373" s="14">
        <v>43989</v>
      </c>
      <c r="L373" s="15">
        <v>0.76388888888888884</v>
      </c>
      <c r="M373" s="13" t="s">
        <v>31</v>
      </c>
      <c r="N373" s="13">
        <v>0.42</v>
      </c>
      <c r="O373" s="13">
        <v>30</v>
      </c>
      <c r="Q373" s="18">
        <v>44014</v>
      </c>
      <c r="R373" s="19">
        <v>0.57361111111111118</v>
      </c>
      <c r="S373" s="17" t="s">
        <v>7</v>
      </c>
      <c r="T373" s="17">
        <v>0.01</v>
      </c>
      <c r="U373" s="17">
        <v>50</v>
      </c>
    </row>
    <row r="374" spans="5:21" x14ac:dyDescent="0.25">
      <c r="E374" s="10">
        <v>44053</v>
      </c>
      <c r="F374" s="11">
        <v>0.57430555555555551</v>
      </c>
      <c r="G374" t="s">
        <v>15</v>
      </c>
      <c r="H374">
        <v>9.18</v>
      </c>
      <c r="I374">
        <v>300</v>
      </c>
      <c r="K374" s="14">
        <v>43989</v>
      </c>
      <c r="L374" s="15">
        <v>0.73958333333333337</v>
      </c>
      <c r="M374" s="13" t="s">
        <v>31</v>
      </c>
      <c r="N374" s="13">
        <v>0.2</v>
      </c>
      <c r="O374" s="13">
        <v>30</v>
      </c>
      <c r="Q374" s="18">
        <v>43892</v>
      </c>
      <c r="R374" s="19">
        <v>0.92708333333333337</v>
      </c>
      <c r="S374" s="17" t="s">
        <v>17</v>
      </c>
      <c r="T374" s="17">
        <v>3.06</v>
      </c>
      <c r="U374" s="17">
        <v>50</v>
      </c>
    </row>
    <row r="375" spans="5:21" x14ac:dyDescent="0.25">
      <c r="E375" s="10">
        <v>44053</v>
      </c>
      <c r="F375" s="11">
        <v>0.57638888888888895</v>
      </c>
      <c r="G375" t="s">
        <v>15</v>
      </c>
      <c r="H375">
        <v>6.28</v>
      </c>
      <c r="I375">
        <v>40</v>
      </c>
      <c r="K375" s="14">
        <v>43989</v>
      </c>
      <c r="L375" s="15">
        <v>0.82777777777777783</v>
      </c>
      <c r="M375" s="13" t="s">
        <v>31</v>
      </c>
      <c r="N375" s="13">
        <v>0.1</v>
      </c>
      <c r="O375" s="13">
        <v>50</v>
      </c>
      <c r="Q375" s="18">
        <v>43840</v>
      </c>
      <c r="R375" s="19">
        <v>0.49652777777777773</v>
      </c>
      <c r="S375" s="17" t="s">
        <v>33</v>
      </c>
      <c r="T375" s="17">
        <v>1</v>
      </c>
      <c r="U375" s="17">
        <v>50</v>
      </c>
    </row>
    <row r="376" spans="5:21" x14ac:dyDescent="0.25">
      <c r="E376" s="10">
        <v>44053</v>
      </c>
      <c r="F376" s="11">
        <v>0.6118055555555556</v>
      </c>
      <c r="G376" t="s">
        <v>15</v>
      </c>
      <c r="H376">
        <v>6.25</v>
      </c>
      <c r="I376">
        <v>150</v>
      </c>
      <c r="K376" s="14">
        <v>43990</v>
      </c>
      <c r="L376" s="15">
        <v>0.67291666666666661</v>
      </c>
      <c r="M376" s="13" t="s">
        <v>31</v>
      </c>
      <c r="N376" s="13">
        <v>3</v>
      </c>
      <c r="O376" s="13">
        <v>150</v>
      </c>
      <c r="Q376" s="18">
        <v>43911</v>
      </c>
      <c r="R376" s="19">
        <v>0.60416666666666663</v>
      </c>
      <c r="S376" s="17" t="s">
        <v>42</v>
      </c>
      <c r="T376" s="17">
        <v>0.49</v>
      </c>
      <c r="U376" s="17">
        <v>40</v>
      </c>
    </row>
    <row r="377" spans="5:21" x14ac:dyDescent="0.25">
      <c r="E377" s="10">
        <v>44053</v>
      </c>
      <c r="F377" s="11">
        <v>0.58680555555555558</v>
      </c>
      <c r="G377" t="s">
        <v>15</v>
      </c>
      <c r="H377">
        <v>5.73</v>
      </c>
      <c r="I377">
        <v>200</v>
      </c>
      <c r="K377" s="14">
        <v>43990</v>
      </c>
      <c r="L377" s="15">
        <v>0.64583333333333337</v>
      </c>
      <c r="M377" s="13" t="s">
        <v>31</v>
      </c>
      <c r="N377" s="13">
        <v>7</v>
      </c>
      <c r="O377" s="13">
        <v>250</v>
      </c>
      <c r="Q377" s="18">
        <v>43841</v>
      </c>
      <c r="R377" s="19">
        <v>0.14791666666666667</v>
      </c>
      <c r="S377" s="17" t="s">
        <v>29</v>
      </c>
      <c r="T377" s="17">
        <v>11.23</v>
      </c>
      <c r="U377" s="17">
        <v>550</v>
      </c>
    </row>
    <row r="378" spans="5:21" x14ac:dyDescent="0.25">
      <c r="E378" s="10">
        <v>44053</v>
      </c>
      <c r="F378" s="11">
        <v>0.62083333333333335</v>
      </c>
      <c r="G378" t="s">
        <v>15</v>
      </c>
      <c r="H378">
        <v>4.84</v>
      </c>
      <c r="I378">
        <v>300</v>
      </c>
      <c r="K378" s="14">
        <v>43990</v>
      </c>
      <c r="L378" s="15">
        <v>0.63680555555555551</v>
      </c>
      <c r="M378" s="13" t="s">
        <v>31</v>
      </c>
      <c r="N378" s="13">
        <v>0.1</v>
      </c>
      <c r="O378" s="13">
        <v>50</v>
      </c>
      <c r="Q378" s="18">
        <v>43873</v>
      </c>
      <c r="R378" s="19">
        <v>0.71736111111111101</v>
      </c>
      <c r="S378" s="17" t="s">
        <v>20</v>
      </c>
      <c r="T378" s="17">
        <v>3.75</v>
      </c>
      <c r="U378" s="17">
        <v>400</v>
      </c>
    </row>
    <row r="379" spans="5:21" x14ac:dyDescent="0.25">
      <c r="E379" s="10">
        <v>44053</v>
      </c>
      <c r="F379" s="11">
        <v>0.54999999999999993</v>
      </c>
      <c r="G379" t="s">
        <v>15</v>
      </c>
      <c r="H379">
        <v>4.59</v>
      </c>
      <c r="I379">
        <v>50</v>
      </c>
      <c r="K379" s="14">
        <v>44002</v>
      </c>
      <c r="L379" s="15">
        <v>0.68402777777777779</v>
      </c>
      <c r="M379" s="13" t="s">
        <v>31</v>
      </c>
      <c r="N379" s="13">
        <v>0.27</v>
      </c>
      <c r="O379" s="13">
        <v>30</v>
      </c>
      <c r="Q379" s="18">
        <v>43976</v>
      </c>
      <c r="R379" s="19">
        <v>0.71666666666666667</v>
      </c>
      <c r="S379" s="17" t="s">
        <v>26</v>
      </c>
      <c r="T379" s="17">
        <v>2.2799999999999998</v>
      </c>
      <c r="U379" s="17">
        <v>40</v>
      </c>
    </row>
    <row r="380" spans="5:21" x14ac:dyDescent="0.25">
      <c r="E380" s="10">
        <v>44053</v>
      </c>
      <c r="F380" s="11">
        <v>0.62430555555555556</v>
      </c>
      <c r="G380" t="s">
        <v>15</v>
      </c>
      <c r="H380">
        <v>3.19</v>
      </c>
      <c r="I380">
        <v>300</v>
      </c>
      <c r="K380" s="14">
        <v>44010</v>
      </c>
      <c r="L380" s="15">
        <v>0.83680555555555547</v>
      </c>
      <c r="M380" s="13" t="s">
        <v>31</v>
      </c>
      <c r="N380" s="13">
        <v>1</v>
      </c>
      <c r="O380" s="13">
        <v>100</v>
      </c>
      <c r="Q380" s="18">
        <v>44023</v>
      </c>
      <c r="R380" s="19">
        <v>0.56319444444444444</v>
      </c>
      <c r="S380" s="17" t="s">
        <v>43</v>
      </c>
      <c r="T380" s="17">
        <v>4.8600000000000003</v>
      </c>
      <c r="U380" s="17">
        <v>100</v>
      </c>
    </row>
    <row r="381" spans="5:21" x14ac:dyDescent="0.25">
      <c r="E381" s="10">
        <v>44053</v>
      </c>
      <c r="F381" s="11">
        <v>0.61041666666666672</v>
      </c>
      <c r="G381" t="s">
        <v>15</v>
      </c>
      <c r="H381">
        <v>2.15</v>
      </c>
      <c r="I381">
        <v>200</v>
      </c>
      <c r="K381" s="14">
        <v>44010</v>
      </c>
      <c r="L381" s="15">
        <v>0.83333333333333337</v>
      </c>
      <c r="M381" s="13" t="s">
        <v>31</v>
      </c>
      <c r="N381" s="13">
        <v>0.39</v>
      </c>
      <c r="O381" s="13">
        <v>50</v>
      </c>
      <c r="Q381" s="18">
        <v>44046</v>
      </c>
      <c r="R381" s="19">
        <v>0.89097222222222217</v>
      </c>
      <c r="S381" s="17" t="s">
        <v>14</v>
      </c>
      <c r="T381" s="17">
        <v>2.33</v>
      </c>
      <c r="U381" s="17">
        <v>40</v>
      </c>
    </row>
    <row r="382" spans="5:21" x14ac:dyDescent="0.25">
      <c r="E382" s="10">
        <v>44053</v>
      </c>
      <c r="F382" s="11">
        <v>0.62291666666666667</v>
      </c>
      <c r="G382" t="s">
        <v>15</v>
      </c>
      <c r="H382">
        <v>1.97</v>
      </c>
      <c r="I382">
        <v>350</v>
      </c>
      <c r="K382" s="14">
        <v>44010</v>
      </c>
      <c r="L382" s="15">
        <v>0.81041666666666667</v>
      </c>
      <c r="M382" s="13" t="s">
        <v>31</v>
      </c>
      <c r="N382" s="13">
        <v>1.26</v>
      </c>
      <c r="O382" s="13">
        <v>100</v>
      </c>
      <c r="Q382" s="18">
        <v>43984</v>
      </c>
      <c r="R382" s="19">
        <v>0.56041666666666667</v>
      </c>
      <c r="S382" s="17" t="s">
        <v>7</v>
      </c>
      <c r="T382" s="17">
        <v>1.0900000000000001</v>
      </c>
      <c r="U382" s="17">
        <v>30</v>
      </c>
    </row>
    <row r="383" spans="5:21" x14ac:dyDescent="0.25">
      <c r="E383" s="10">
        <v>44053</v>
      </c>
      <c r="F383" s="11">
        <v>0.6118055555555556</v>
      </c>
      <c r="G383" t="s">
        <v>15</v>
      </c>
      <c r="H383">
        <v>1.75</v>
      </c>
      <c r="I383">
        <v>150</v>
      </c>
      <c r="K383" s="14">
        <v>44019</v>
      </c>
      <c r="L383" s="15">
        <v>0.9375</v>
      </c>
      <c r="M383" s="13" t="s">
        <v>31</v>
      </c>
      <c r="N383" s="13">
        <v>0.22</v>
      </c>
      <c r="O383" s="13">
        <v>50</v>
      </c>
      <c r="Q383" s="18">
        <v>44018</v>
      </c>
      <c r="R383" s="19">
        <v>0.72638888888888886</v>
      </c>
      <c r="S383" s="17" t="s">
        <v>39</v>
      </c>
      <c r="T383" s="17">
        <v>3.66</v>
      </c>
      <c r="U383" s="17">
        <v>50</v>
      </c>
    </row>
    <row r="384" spans="5:21" x14ac:dyDescent="0.25">
      <c r="E384" s="10">
        <v>44053</v>
      </c>
      <c r="F384" s="11">
        <v>0.56736111111111109</v>
      </c>
      <c r="G384" t="s">
        <v>15</v>
      </c>
      <c r="H384">
        <v>1.58</v>
      </c>
      <c r="I384">
        <v>50</v>
      </c>
      <c r="K384" s="14">
        <v>44029</v>
      </c>
      <c r="L384" s="15">
        <v>0.58263888888888882</v>
      </c>
      <c r="M384" s="13" t="s">
        <v>31</v>
      </c>
      <c r="N384" s="13">
        <v>0.1</v>
      </c>
      <c r="O384" s="13">
        <v>30</v>
      </c>
      <c r="Q384" s="18">
        <v>43933</v>
      </c>
      <c r="R384" s="19">
        <v>0.91319444444444453</v>
      </c>
      <c r="S384" s="17" t="s">
        <v>21</v>
      </c>
      <c r="T384" s="17">
        <v>4.7300000000000004</v>
      </c>
      <c r="U384" s="17">
        <v>500</v>
      </c>
    </row>
    <row r="385" spans="5:21" x14ac:dyDescent="0.25">
      <c r="E385" s="10">
        <v>44053</v>
      </c>
      <c r="F385" s="11">
        <v>0.62777777777777777</v>
      </c>
      <c r="G385" t="s">
        <v>15</v>
      </c>
      <c r="H385">
        <v>1.47</v>
      </c>
      <c r="I385">
        <v>150</v>
      </c>
      <c r="K385" s="14">
        <v>44029</v>
      </c>
      <c r="L385" s="15">
        <v>0.61597222222222225</v>
      </c>
      <c r="M385" s="13" t="s">
        <v>31</v>
      </c>
      <c r="N385" s="13">
        <v>0.25</v>
      </c>
      <c r="O385" s="13">
        <v>40</v>
      </c>
      <c r="Q385" s="18">
        <v>43989</v>
      </c>
      <c r="R385" s="19">
        <v>0.56944444444444442</v>
      </c>
      <c r="S385" s="17" t="s">
        <v>19</v>
      </c>
      <c r="T385" s="17">
        <v>0.01</v>
      </c>
      <c r="U385" s="17">
        <v>25</v>
      </c>
    </row>
    <row r="386" spans="5:21" x14ac:dyDescent="0.25">
      <c r="E386" s="10">
        <v>44053</v>
      </c>
      <c r="F386" s="11">
        <v>0.59166666666666667</v>
      </c>
      <c r="G386" t="s">
        <v>15</v>
      </c>
      <c r="H386">
        <v>1.21</v>
      </c>
      <c r="I386">
        <v>40</v>
      </c>
      <c r="K386" s="14">
        <v>44032</v>
      </c>
      <c r="L386" s="15">
        <v>0.59027777777777779</v>
      </c>
      <c r="M386" s="13" t="s">
        <v>31</v>
      </c>
      <c r="N386" s="13">
        <v>0.23</v>
      </c>
      <c r="O386" s="13">
        <v>25</v>
      </c>
      <c r="Q386" s="18">
        <v>44075</v>
      </c>
      <c r="R386" s="19">
        <v>0.75694444444444453</v>
      </c>
      <c r="S386" s="17" t="s">
        <v>6</v>
      </c>
      <c r="T386" s="17">
        <v>0.01</v>
      </c>
      <c r="U386" s="17">
        <v>30</v>
      </c>
    </row>
    <row r="387" spans="5:21" x14ac:dyDescent="0.25">
      <c r="E387" s="10">
        <v>44053</v>
      </c>
      <c r="F387" s="11">
        <v>0.58263888888888882</v>
      </c>
      <c r="G387" t="s">
        <v>15</v>
      </c>
      <c r="H387">
        <v>0.9</v>
      </c>
      <c r="I387">
        <v>150</v>
      </c>
      <c r="K387" s="14">
        <v>44047</v>
      </c>
      <c r="L387" s="15">
        <v>0.77638888888888891</v>
      </c>
      <c r="M387" s="13" t="s">
        <v>31</v>
      </c>
      <c r="N387" s="13">
        <v>4.3600000000000003</v>
      </c>
      <c r="O387" s="13">
        <v>100</v>
      </c>
      <c r="Q387" s="18">
        <v>43934</v>
      </c>
      <c r="R387" s="19">
        <v>0.19027777777777777</v>
      </c>
      <c r="S387" s="17" t="s">
        <v>14</v>
      </c>
      <c r="T387" s="17">
        <v>0.19</v>
      </c>
      <c r="U387" s="17">
        <v>75</v>
      </c>
    </row>
    <row r="388" spans="5:21" x14ac:dyDescent="0.25">
      <c r="E388" s="10">
        <v>44053</v>
      </c>
      <c r="F388" s="11">
        <v>0.60763888888888895</v>
      </c>
      <c r="G388" t="s">
        <v>15</v>
      </c>
      <c r="H388">
        <v>0.36</v>
      </c>
      <c r="I388">
        <v>100</v>
      </c>
      <c r="K388" s="14">
        <v>44052</v>
      </c>
      <c r="L388" s="15">
        <v>0.55347222222222225</v>
      </c>
      <c r="M388" s="13" t="s">
        <v>31</v>
      </c>
      <c r="N388" s="13">
        <v>2.87</v>
      </c>
      <c r="O388" s="13">
        <v>150</v>
      </c>
      <c r="Q388" s="18">
        <v>43903</v>
      </c>
      <c r="R388" s="19">
        <v>0.80069444444444438</v>
      </c>
      <c r="S388" s="17" t="s">
        <v>6</v>
      </c>
      <c r="T388" s="17">
        <v>0.47</v>
      </c>
      <c r="U388" s="17">
        <v>20</v>
      </c>
    </row>
    <row r="389" spans="5:21" x14ac:dyDescent="0.25">
      <c r="E389" s="10">
        <v>44145</v>
      </c>
      <c r="F389" s="11">
        <v>0.57291666666666663</v>
      </c>
      <c r="G389" t="s">
        <v>15</v>
      </c>
      <c r="H389">
        <v>20.34</v>
      </c>
      <c r="I389">
        <v>50</v>
      </c>
      <c r="K389" s="14">
        <v>44052</v>
      </c>
      <c r="L389" s="15">
        <v>0.54305555555555551</v>
      </c>
      <c r="M389" s="13" t="s">
        <v>31</v>
      </c>
      <c r="N389" s="13">
        <v>0.87</v>
      </c>
      <c r="O389" s="13">
        <v>100</v>
      </c>
      <c r="Q389" s="18">
        <v>43933</v>
      </c>
      <c r="R389" s="19">
        <v>0.90972222222222221</v>
      </c>
      <c r="S389" s="17" t="s">
        <v>21</v>
      </c>
      <c r="T389" s="17">
        <v>5.09</v>
      </c>
      <c r="U389" s="17">
        <v>500</v>
      </c>
    </row>
    <row r="390" spans="5:21" x14ac:dyDescent="0.25">
      <c r="E390" s="10">
        <v>44145</v>
      </c>
      <c r="F390" s="11">
        <v>0.67986111111111114</v>
      </c>
      <c r="G390" t="s">
        <v>15</v>
      </c>
      <c r="H390">
        <v>9.99</v>
      </c>
      <c r="I390">
        <v>50</v>
      </c>
      <c r="K390" s="14">
        <v>44052</v>
      </c>
      <c r="L390" s="15">
        <v>0.55486111111111114</v>
      </c>
      <c r="M390" s="13" t="s">
        <v>31</v>
      </c>
      <c r="N390" s="13">
        <v>0.3</v>
      </c>
      <c r="O390" s="13">
        <v>50</v>
      </c>
      <c r="Q390" s="18">
        <v>43933</v>
      </c>
      <c r="R390" s="19">
        <v>0.86805555555555547</v>
      </c>
      <c r="S390" s="17" t="s">
        <v>20</v>
      </c>
      <c r="T390" s="17">
        <v>1.95</v>
      </c>
      <c r="U390" s="17">
        <v>154</v>
      </c>
    </row>
    <row r="391" spans="5:21" x14ac:dyDescent="0.25">
      <c r="E391" s="10">
        <v>44145</v>
      </c>
      <c r="F391" s="11">
        <v>0.625</v>
      </c>
      <c r="G391" t="s">
        <v>15</v>
      </c>
      <c r="H391">
        <v>4.28</v>
      </c>
      <c r="I391">
        <v>100</v>
      </c>
      <c r="K391" s="14">
        <v>44052</v>
      </c>
      <c r="L391" s="15">
        <v>0.45694444444444443</v>
      </c>
      <c r="M391" s="13" t="s">
        <v>31</v>
      </c>
      <c r="N391" s="13">
        <v>0.28999999999999998</v>
      </c>
      <c r="O391" s="13">
        <v>40</v>
      </c>
      <c r="Q391" s="18">
        <v>43868</v>
      </c>
      <c r="R391" s="19">
        <v>0.28055555555555556</v>
      </c>
      <c r="S391" s="17" t="s">
        <v>18</v>
      </c>
      <c r="T391" s="17">
        <v>6.74</v>
      </c>
      <c r="U391" s="17">
        <v>150</v>
      </c>
    </row>
    <row r="392" spans="5:21" x14ac:dyDescent="0.25">
      <c r="E392" s="10">
        <v>44145</v>
      </c>
      <c r="F392" s="11">
        <v>0.69374999999999998</v>
      </c>
      <c r="G392" t="s">
        <v>15</v>
      </c>
      <c r="H392">
        <v>3.72</v>
      </c>
      <c r="I392">
        <v>50</v>
      </c>
      <c r="K392" s="14">
        <v>44052</v>
      </c>
      <c r="L392" s="15">
        <v>0.55069444444444449</v>
      </c>
      <c r="M392" s="13" t="s">
        <v>31</v>
      </c>
      <c r="N392" s="13">
        <v>2.2400000000000002</v>
      </c>
      <c r="O392" s="13">
        <v>100</v>
      </c>
      <c r="Q392" s="18">
        <v>43934</v>
      </c>
      <c r="R392" s="19">
        <v>7.2222222222222229E-2</v>
      </c>
      <c r="S392" s="17" t="s">
        <v>10</v>
      </c>
      <c r="T392" s="17">
        <v>7.42</v>
      </c>
      <c r="U392" s="17">
        <v>70</v>
      </c>
    </row>
    <row r="393" spans="5:21" x14ac:dyDescent="0.25">
      <c r="E393" s="10">
        <v>44145</v>
      </c>
      <c r="F393" s="11">
        <v>0.61805555555555558</v>
      </c>
      <c r="G393" t="s">
        <v>15</v>
      </c>
      <c r="H393">
        <v>3.47</v>
      </c>
      <c r="I393">
        <v>100</v>
      </c>
      <c r="K393" s="14">
        <v>44052</v>
      </c>
      <c r="L393" s="15">
        <v>0.56944444444444442</v>
      </c>
      <c r="M393" s="13" t="s">
        <v>31</v>
      </c>
      <c r="N393" s="13">
        <v>2</v>
      </c>
      <c r="O393" s="13">
        <v>40</v>
      </c>
      <c r="Q393" s="18">
        <v>44057</v>
      </c>
      <c r="R393" s="19">
        <v>0.70138888888888884</v>
      </c>
      <c r="S393" s="17" t="s">
        <v>8</v>
      </c>
      <c r="T393" s="17">
        <v>2.44</v>
      </c>
      <c r="U393" s="17">
        <v>250</v>
      </c>
    </row>
    <row r="394" spans="5:21" x14ac:dyDescent="0.25">
      <c r="E394" s="10">
        <v>44145</v>
      </c>
      <c r="F394" s="11">
        <v>0.58472222222222225</v>
      </c>
      <c r="G394" t="s">
        <v>15</v>
      </c>
      <c r="H394">
        <v>0.54</v>
      </c>
      <c r="I394">
        <v>30</v>
      </c>
      <c r="K394" s="14">
        <v>43867</v>
      </c>
      <c r="L394" s="15">
        <v>0.60555555555555551</v>
      </c>
      <c r="M394" s="13" t="s">
        <v>14</v>
      </c>
      <c r="N394" s="13">
        <v>2.99</v>
      </c>
      <c r="O394" s="13">
        <v>75</v>
      </c>
      <c r="Q394" s="18">
        <v>44016</v>
      </c>
      <c r="R394" s="19">
        <v>0.6875</v>
      </c>
      <c r="S394" s="17" t="s">
        <v>42</v>
      </c>
      <c r="T394" s="17">
        <v>0.04</v>
      </c>
      <c r="U394" s="17">
        <v>30</v>
      </c>
    </row>
    <row r="395" spans="5:21" x14ac:dyDescent="0.25">
      <c r="E395" s="10">
        <v>44145</v>
      </c>
      <c r="F395" s="11">
        <v>0.61249999999999993</v>
      </c>
      <c r="G395" t="s">
        <v>15</v>
      </c>
      <c r="H395">
        <v>0.32</v>
      </c>
      <c r="I395">
        <v>30</v>
      </c>
      <c r="K395" s="14">
        <v>43867</v>
      </c>
      <c r="L395" s="15">
        <v>0.47986111111111113</v>
      </c>
      <c r="M395" s="13" t="s">
        <v>14</v>
      </c>
      <c r="N395" s="13">
        <v>0.38</v>
      </c>
      <c r="O395" s="13">
        <v>100</v>
      </c>
      <c r="Q395" s="18">
        <v>44006</v>
      </c>
      <c r="R395" s="19">
        <v>0.20138888888888887</v>
      </c>
      <c r="S395" s="17" t="s">
        <v>26</v>
      </c>
      <c r="T395" s="17">
        <v>3.54</v>
      </c>
      <c r="U395" s="17">
        <v>100</v>
      </c>
    </row>
    <row r="396" spans="5:21" x14ac:dyDescent="0.25">
      <c r="E396" s="10">
        <v>44145</v>
      </c>
      <c r="F396" s="11">
        <v>0.60972222222222217</v>
      </c>
      <c r="G396" t="s">
        <v>15</v>
      </c>
      <c r="H396">
        <v>0.26</v>
      </c>
      <c r="I396">
        <v>100</v>
      </c>
      <c r="K396" s="14">
        <v>43867</v>
      </c>
      <c r="L396" s="15">
        <v>0.48749999999999999</v>
      </c>
      <c r="M396" s="13" t="s">
        <v>14</v>
      </c>
      <c r="N396" s="13">
        <v>7.32</v>
      </c>
      <c r="O396" s="13">
        <v>400</v>
      </c>
      <c r="Q396" s="18">
        <v>43929</v>
      </c>
      <c r="R396" s="19">
        <v>0.86111111111111116</v>
      </c>
      <c r="S396" s="17" t="s">
        <v>11</v>
      </c>
      <c r="T396" s="17">
        <v>2.4</v>
      </c>
      <c r="U396" s="17">
        <v>500</v>
      </c>
    </row>
    <row r="397" spans="5:21" x14ac:dyDescent="0.25">
      <c r="E397" s="10">
        <v>43918</v>
      </c>
      <c r="F397" s="11">
        <v>0.80486111111111114</v>
      </c>
      <c r="G397" t="s">
        <v>22</v>
      </c>
      <c r="H397">
        <v>4.2</v>
      </c>
      <c r="I397">
        <v>575</v>
      </c>
      <c r="K397" s="14">
        <v>43867</v>
      </c>
      <c r="L397" s="15">
        <v>0.41319444444444442</v>
      </c>
      <c r="M397" s="13" t="s">
        <v>14</v>
      </c>
      <c r="N397" s="13">
        <v>8.66</v>
      </c>
      <c r="O397" s="13">
        <v>150</v>
      </c>
      <c r="Q397" s="18">
        <v>44009</v>
      </c>
      <c r="R397" s="19">
        <v>0.6958333333333333</v>
      </c>
      <c r="S397" s="17" t="s">
        <v>17</v>
      </c>
      <c r="T397" s="17">
        <v>0.76</v>
      </c>
      <c r="U397" s="17">
        <v>100</v>
      </c>
    </row>
    <row r="398" spans="5:21" x14ac:dyDescent="0.25">
      <c r="E398" s="10">
        <v>43929</v>
      </c>
      <c r="F398" s="11">
        <v>0.84236111111111101</v>
      </c>
      <c r="G398" t="s">
        <v>22</v>
      </c>
      <c r="H398">
        <v>5.73</v>
      </c>
      <c r="I398">
        <v>450</v>
      </c>
      <c r="K398" s="14">
        <v>43867</v>
      </c>
      <c r="L398" s="15">
        <v>0.4548611111111111</v>
      </c>
      <c r="M398" s="13" t="s">
        <v>14</v>
      </c>
      <c r="N398" s="13">
        <v>1.52</v>
      </c>
      <c r="O398" s="13">
        <v>50</v>
      </c>
      <c r="Q398" s="18">
        <v>44053</v>
      </c>
      <c r="R398" s="19">
        <v>0.44166666666666665</v>
      </c>
      <c r="S398" s="17" t="s">
        <v>23</v>
      </c>
      <c r="T398" s="17">
        <v>0.42</v>
      </c>
      <c r="U398" s="17">
        <v>50</v>
      </c>
    </row>
    <row r="399" spans="5:21" x14ac:dyDescent="0.25">
      <c r="E399" s="10">
        <v>43929</v>
      </c>
      <c r="F399" s="11">
        <v>0.84236111111111101</v>
      </c>
      <c r="G399" t="s">
        <v>22</v>
      </c>
      <c r="H399">
        <v>5.25</v>
      </c>
      <c r="I399">
        <v>200</v>
      </c>
      <c r="K399" s="14">
        <v>43867</v>
      </c>
      <c r="L399" s="15">
        <v>0.36458333333333331</v>
      </c>
      <c r="M399" s="13" t="s">
        <v>14</v>
      </c>
      <c r="N399" s="13">
        <v>7.48</v>
      </c>
      <c r="O399" s="13">
        <v>100</v>
      </c>
      <c r="Q399" s="18">
        <v>44188</v>
      </c>
      <c r="R399" s="19">
        <v>0.66249999999999998</v>
      </c>
      <c r="S399" s="17" t="s">
        <v>6</v>
      </c>
      <c r="T399" s="17">
        <v>1.23</v>
      </c>
      <c r="U399" s="17">
        <v>20</v>
      </c>
    </row>
    <row r="400" spans="5:21" x14ac:dyDescent="0.25">
      <c r="E400" s="10">
        <v>43929</v>
      </c>
      <c r="F400" s="11">
        <v>0.83888888888888891</v>
      </c>
      <c r="G400" t="s">
        <v>22</v>
      </c>
      <c r="H400">
        <v>2.6</v>
      </c>
      <c r="I400">
        <v>220</v>
      </c>
      <c r="K400" s="14">
        <v>43867</v>
      </c>
      <c r="L400" s="15">
        <v>0.44444444444444442</v>
      </c>
      <c r="M400" s="13" t="s">
        <v>14</v>
      </c>
      <c r="N400" s="13">
        <v>6.19</v>
      </c>
      <c r="O400" s="13">
        <v>75</v>
      </c>
      <c r="Q400" s="18">
        <v>43867</v>
      </c>
      <c r="R400" s="19">
        <v>0.48749999999999999</v>
      </c>
      <c r="S400" s="17" t="s">
        <v>14</v>
      </c>
      <c r="T400" s="17">
        <v>7.32</v>
      </c>
      <c r="U400" s="17">
        <v>400</v>
      </c>
    </row>
    <row r="401" spans="5:21" x14ac:dyDescent="0.25">
      <c r="E401" s="10">
        <v>43929</v>
      </c>
      <c r="F401" s="11">
        <v>0.83263888888888893</v>
      </c>
      <c r="G401" t="s">
        <v>22</v>
      </c>
      <c r="H401">
        <v>2.4900000000000002</v>
      </c>
      <c r="I401">
        <v>450</v>
      </c>
      <c r="K401" s="14">
        <v>43867</v>
      </c>
      <c r="L401" s="15">
        <v>0.4694444444444445</v>
      </c>
      <c r="M401" s="13" t="s">
        <v>14</v>
      </c>
      <c r="N401" s="13">
        <v>17.149999999999999</v>
      </c>
      <c r="O401" s="13">
        <v>150</v>
      </c>
      <c r="Q401" s="18">
        <v>44030</v>
      </c>
      <c r="R401" s="19">
        <v>0.87083333333333324</v>
      </c>
      <c r="S401" s="17" t="s">
        <v>8</v>
      </c>
      <c r="T401" s="17">
        <v>9.4600000000000009</v>
      </c>
      <c r="U401" s="17">
        <v>400</v>
      </c>
    </row>
    <row r="402" spans="5:21" x14ac:dyDescent="0.25">
      <c r="E402" s="10">
        <v>43929</v>
      </c>
      <c r="F402" s="11">
        <v>0.77986111111111101</v>
      </c>
      <c r="G402" t="s">
        <v>22</v>
      </c>
      <c r="H402">
        <v>0.97</v>
      </c>
      <c r="I402">
        <v>35</v>
      </c>
      <c r="K402" s="14">
        <v>43934</v>
      </c>
      <c r="L402" s="15">
        <v>0.30069444444444443</v>
      </c>
      <c r="M402" s="13" t="s">
        <v>14</v>
      </c>
      <c r="N402" s="13">
        <v>2.82</v>
      </c>
      <c r="O402" s="13">
        <v>50</v>
      </c>
      <c r="Q402" s="18">
        <v>43866</v>
      </c>
      <c r="R402" s="19">
        <v>0.64444444444444449</v>
      </c>
      <c r="S402" s="17" t="s">
        <v>24</v>
      </c>
      <c r="T402" s="17">
        <v>8.1199999999999992</v>
      </c>
      <c r="U402" s="17">
        <v>800</v>
      </c>
    </row>
    <row r="403" spans="5:21" x14ac:dyDescent="0.25">
      <c r="E403" s="10">
        <v>43929</v>
      </c>
      <c r="F403" s="11">
        <v>0.84027777777777779</v>
      </c>
      <c r="G403" t="s">
        <v>22</v>
      </c>
      <c r="H403">
        <v>0.96</v>
      </c>
      <c r="I403">
        <v>150</v>
      </c>
      <c r="K403" s="14">
        <v>43934</v>
      </c>
      <c r="L403" s="15">
        <v>0.34722222222222227</v>
      </c>
      <c r="M403" s="13" t="s">
        <v>14</v>
      </c>
      <c r="N403" s="13">
        <v>0.27</v>
      </c>
      <c r="O403" s="13">
        <v>75</v>
      </c>
      <c r="Q403" s="18">
        <v>44033</v>
      </c>
      <c r="R403" s="19">
        <v>0.70138888888888884</v>
      </c>
      <c r="S403" s="17" t="s">
        <v>32</v>
      </c>
      <c r="T403" s="17">
        <v>1.54</v>
      </c>
      <c r="U403" s="17">
        <v>20</v>
      </c>
    </row>
    <row r="404" spans="5:21" x14ac:dyDescent="0.25">
      <c r="E404" s="10">
        <v>43929</v>
      </c>
      <c r="F404" s="11">
        <v>0.83750000000000002</v>
      </c>
      <c r="G404" t="s">
        <v>22</v>
      </c>
      <c r="H404">
        <v>0.18</v>
      </c>
      <c r="I404">
        <v>75</v>
      </c>
      <c r="K404" s="14">
        <v>43934</v>
      </c>
      <c r="L404" s="15">
        <v>0.18888888888888888</v>
      </c>
      <c r="M404" s="13" t="s">
        <v>14</v>
      </c>
      <c r="N404" s="13">
        <v>4.53</v>
      </c>
      <c r="O404" s="13">
        <v>440</v>
      </c>
      <c r="Q404" s="18">
        <v>44090</v>
      </c>
      <c r="R404" s="19">
        <v>0.61527777777777781</v>
      </c>
      <c r="S404" s="17" t="s">
        <v>9</v>
      </c>
      <c r="T404" s="17">
        <v>5.26</v>
      </c>
      <c r="U404" s="17">
        <v>50</v>
      </c>
    </row>
    <row r="405" spans="5:21" x14ac:dyDescent="0.25">
      <c r="E405" s="10">
        <v>43929</v>
      </c>
      <c r="F405" s="11">
        <v>0.84097222222222223</v>
      </c>
      <c r="G405" t="s">
        <v>22</v>
      </c>
      <c r="H405">
        <v>0.15</v>
      </c>
      <c r="I405">
        <v>60</v>
      </c>
      <c r="K405" s="14">
        <v>43934</v>
      </c>
      <c r="L405" s="15">
        <v>0.30833333333333335</v>
      </c>
      <c r="M405" s="13" t="s">
        <v>14</v>
      </c>
      <c r="N405" s="13">
        <v>1.49</v>
      </c>
      <c r="O405" s="13">
        <v>30</v>
      </c>
      <c r="Q405" s="18">
        <v>43933</v>
      </c>
      <c r="R405" s="19">
        <v>0.40208333333333335</v>
      </c>
      <c r="S405" s="17" t="s">
        <v>26</v>
      </c>
      <c r="T405" s="17">
        <v>0.77</v>
      </c>
      <c r="U405" s="17">
        <v>75</v>
      </c>
    </row>
    <row r="406" spans="5:21" x14ac:dyDescent="0.25">
      <c r="E406" s="10">
        <v>43946</v>
      </c>
      <c r="F406" s="11">
        <v>0.51736111111111105</v>
      </c>
      <c r="G406" t="s">
        <v>22</v>
      </c>
      <c r="H406">
        <v>0.37</v>
      </c>
      <c r="I406">
        <v>40</v>
      </c>
      <c r="K406" s="14">
        <v>43934</v>
      </c>
      <c r="L406" s="15">
        <v>0.19791666666666666</v>
      </c>
      <c r="M406" s="13" t="s">
        <v>14</v>
      </c>
      <c r="N406" s="13">
        <v>8.82</v>
      </c>
      <c r="O406" s="13">
        <v>200</v>
      </c>
      <c r="Q406" s="18">
        <v>43941</v>
      </c>
      <c r="R406" s="19">
        <v>0.40625</v>
      </c>
      <c r="S406" s="17" t="s">
        <v>19</v>
      </c>
      <c r="T406" s="17">
        <v>2.74</v>
      </c>
      <c r="U406" s="17">
        <v>25</v>
      </c>
    </row>
    <row r="407" spans="5:21" x14ac:dyDescent="0.25">
      <c r="E407" s="10">
        <v>44019</v>
      </c>
      <c r="F407" s="11">
        <v>0.61875000000000002</v>
      </c>
      <c r="G407" t="s">
        <v>22</v>
      </c>
      <c r="H407">
        <v>0.48</v>
      </c>
      <c r="I407">
        <v>30</v>
      </c>
      <c r="K407" s="14">
        <v>43934</v>
      </c>
      <c r="L407" s="15">
        <v>0.31388888888888888</v>
      </c>
      <c r="M407" s="13" t="s">
        <v>14</v>
      </c>
      <c r="N407" s="13">
        <v>0.08</v>
      </c>
      <c r="O407" s="13">
        <v>15</v>
      </c>
      <c r="Q407" s="18">
        <v>43943</v>
      </c>
      <c r="R407" s="19">
        <v>0.78888888888888886</v>
      </c>
      <c r="S407" s="17" t="s">
        <v>26</v>
      </c>
      <c r="T407" s="17">
        <v>15.62</v>
      </c>
      <c r="U407" s="17">
        <v>500</v>
      </c>
    </row>
    <row r="408" spans="5:21" x14ac:dyDescent="0.25">
      <c r="E408" s="10">
        <v>44027</v>
      </c>
      <c r="F408" s="11">
        <v>0.94444444444444453</v>
      </c>
      <c r="G408" t="s">
        <v>22</v>
      </c>
      <c r="H408">
        <v>4.33</v>
      </c>
      <c r="I408">
        <v>80</v>
      </c>
      <c r="K408" s="14">
        <v>43934</v>
      </c>
      <c r="L408" s="15">
        <v>0.19027777777777777</v>
      </c>
      <c r="M408" s="13" t="s">
        <v>14</v>
      </c>
      <c r="N408" s="13">
        <v>0.19</v>
      </c>
      <c r="O408" s="13">
        <v>75</v>
      </c>
      <c r="Q408" s="18">
        <v>43868</v>
      </c>
      <c r="R408" s="19">
        <v>0.26944444444444443</v>
      </c>
      <c r="S408" s="17" t="s">
        <v>18</v>
      </c>
      <c r="T408" s="17">
        <v>1.1100000000000001</v>
      </c>
      <c r="U408" s="17">
        <v>150</v>
      </c>
    </row>
    <row r="409" spans="5:21" x14ac:dyDescent="0.25">
      <c r="E409" s="10">
        <v>44053</v>
      </c>
      <c r="F409" s="11">
        <v>0.70486111111111116</v>
      </c>
      <c r="G409" t="s">
        <v>22</v>
      </c>
      <c r="H409">
        <v>3.1</v>
      </c>
      <c r="I409">
        <v>100</v>
      </c>
      <c r="K409" s="14">
        <v>43934</v>
      </c>
      <c r="L409" s="15">
        <v>0.31666666666666665</v>
      </c>
      <c r="M409" s="13" t="s">
        <v>14</v>
      </c>
      <c r="N409" s="13">
        <v>5.5</v>
      </c>
      <c r="O409" s="13">
        <v>640</v>
      </c>
      <c r="Q409" s="18">
        <v>44057</v>
      </c>
      <c r="R409" s="19">
        <v>0.69791666666666663</v>
      </c>
      <c r="S409" s="17" t="s">
        <v>8</v>
      </c>
      <c r="T409" s="17">
        <v>7.31</v>
      </c>
      <c r="U409" s="17">
        <v>85</v>
      </c>
    </row>
    <row r="410" spans="5:21" x14ac:dyDescent="0.25">
      <c r="E410" s="10">
        <v>44053</v>
      </c>
      <c r="F410" s="11">
        <v>0.68888888888888899</v>
      </c>
      <c r="G410" t="s">
        <v>22</v>
      </c>
      <c r="H410">
        <v>2.41</v>
      </c>
      <c r="I410">
        <v>100</v>
      </c>
      <c r="K410" s="14">
        <v>43934</v>
      </c>
      <c r="L410" s="15">
        <v>0.34375</v>
      </c>
      <c r="M410" s="13" t="s">
        <v>14</v>
      </c>
      <c r="N410" s="13">
        <v>0.31</v>
      </c>
      <c r="O410" s="13">
        <v>29</v>
      </c>
      <c r="Q410" s="18">
        <v>43943</v>
      </c>
      <c r="R410" s="19">
        <v>0.64166666666666672</v>
      </c>
      <c r="S410" s="17" t="s">
        <v>33</v>
      </c>
      <c r="T410" s="17">
        <v>4.7300000000000004</v>
      </c>
      <c r="U410" s="17">
        <v>600</v>
      </c>
    </row>
    <row r="411" spans="5:21" x14ac:dyDescent="0.25">
      <c r="E411" s="10">
        <v>44053</v>
      </c>
      <c r="F411" s="11">
        <v>0.63541666666666663</v>
      </c>
      <c r="G411" t="s">
        <v>22</v>
      </c>
      <c r="H411">
        <v>0.86</v>
      </c>
      <c r="I411">
        <v>40</v>
      </c>
      <c r="K411" s="14">
        <v>43934</v>
      </c>
      <c r="L411" s="15">
        <v>0.31666666666666665</v>
      </c>
      <c r="M411" s="13" t="s">
        <v>14</v>
      </c>
      <c r="N411" s="13">
        <v>0.42</v>
      </c>
      <c r="O411" s="13">
        <v>15</v>
      </c>
      <c r="Q411" s="18">
        <v>44052</v>
      </c>
      <c r="R411" s="19">
        <v>0.84166666666666667</v>
      </c>
      <c r="S411" s="17" t="s">
        <v>32</v>
      </c>
      <c r="T411" s="17">
        <v>3.56</v>
      </c>
      <c r="U411" s="17">
        <v>250</v>
      </c>
    </row>
    <row r="412" spans="5:21" x14ac:dyDescent="0.25">
      <c r="E412" s="10">
        <v>44053</v>
      </c>
      <c r="F412" s="11">
        <v>0.73819444444444438</v>
      </c>
      <c r="G412" t="s">
        <v>22</v>
      </c>
      <c r="H412">
        <v>0.23</v>
      </c>
      <c r="I412">
        <v>50</v>
      </c>
      <c r="K412" s="14">
        <v>43934</v>
      </c>
      <c r="L412" s="15">
        <v>0.29791666666666666</v>
      </c>
      <c r="M412" s="13" t="s">
        <v>14</v>
      </c>
      <c r="N412" s="13">
        <v>7.82</v>
      </c>
      <c r="O412" s="13">
        <v>50</v>
      </c>
      <c r="Q412" s="18">
        <v>43934</v>
      </c>
      <c r="R412" s="19">
        <v>0.18402777777777779</v>
      </c>
      <c r="S412" s="17" t="s">
        <v>10</v>
      </c>
      <c r="T412" s="17">
        <v>10.23</v>
      </c>
      <c r="U412" s="17">
        <v>700</v>
      </c>
    </row>
    <row r="413" spans="5:21" x14ac:dyDescent="0.25">
      <c r="E413" s="10">
        <v>43965</v>
      </c>
      <c r="F413" s="11">
        <v>0.8256944444444444</v>
      </c>
      <c r="G413" t="s">
        <v>12</v>
      </c>
      <c r="H413">
        <v>3.69</v>
      </c>
      <c r="I413">
        <v>50</v>
      </c>
      <c r="K413" s="14">
        <v>43934</v>
      </c>
      <c r="L413" s="15">
        <v>0.33888888888888885</v>
      </c>
      <c r="M413" s="13" t="s">
        <v>14</v>
      </c>
      <c r="N413" s="13">
        <v>0.08</v>
      </c>
      <c r="O413" s="13">
        <v>60</v>
      </c>
      <c r="Q413" s="18">
        <v>43972</v>
      </c>
      <c r="R413" s="19">
        <v>0.75763888888888886</v>
      </c>
      <c r="S413" s="17" t="s">
        <v>12</v>
      </c>
      <c r="T413" s="17">
        <v>1.76</v>
      </c>
      <c r="U413" s="17">
        <v>150</v>
      </c>
    </row>
    <row r="414" spans="5:21" x14ac:dyDescent="0.25">
      <c r="E414" s="10">
        <v>43965</v>
      </c>
      <c r="F414" s="11">
        <v>0.79513888888888884</v>
      </c>
      <c r="G414" t="s">
        <v>12</v>
      </c>
      <c r="H414">
        <v>2.66</v>
      </c>
      <c r="I414">
        <v>25</v>
      </c>
      <c r="K414" s="14">
        <v>43934</v>
      </c>
      <c r="L414" s="15">
        <v>0.25694444444444448</v>
      </c>
      <c r="M414" s="13" t="s">
        <v>14</v>
      </c>
      <c r="N414" s="13">
        <v>0.57999999999999996</v>
      </c>
      <c r="O414" s="13">
        <v>100</v>
      </c>
      <c r="Q414" s="18">
        <v>43974</v>
      </c>
      <c r="R414" s="19">
        <v>0.55833333333333335</v>
      </c>
      <c r="S414" s="17" t="s">
        <v>23</v>
      </c>
      <c r="T414" s="17">
        <v>0.04</v>
      </c>
      <c r="U414" s="17">
        <v>10</v>
      </c>
    </row>
    <row r="415" spans="5:21" x14ac:dyDescent="0.25">
      <c r="E415" s="10">
        <v>43965</v>
      </c>
      <c r="F415" s="11">
        <v>0.82847222222222217</v>
      </c>
      <c r="G415" t="s">
        <v>12</v>
      </c>
      <c r="H415">
        <v>1.6</v>
      </c>
      <c r="I415">
        <v>50</v>
      </c>
      <c r="K415" s="14">
        <v>43934</v>
      </c>
      <c r="L415" s="15">
        <v>0.33680555555555558</v>
      </c>
      <c r="M415" s="13" t="s">
        <v>14</v>
      </c>
      <c r="N415" s="13">
        <v>0.35</v>
      </c>
      <c r="O415" s="13">
        <v>25</v>
      </c>
      <c r="Q415" s="18">
        <v>44091</v>
      </c>
      <c r="R415" s="19">
        <v>0.32569444444444445</v>
      </c>
      <c r="S415" s="17" t="s">
        <v>10</v>
      </c>
      <c r="T415" s="17">
        <v>0.23</v>
      </c>
      <c r="U415" s="17">
        <v>100</v>
      </c>
    </row>
    <row r="416" spans="5:21" x14ac:dyDescent="0.25">
      <c r="E416" s="10">
        <v>43965</v>
      </c>
      <c r="F416" s="11">
        <v>0.80555555555555547</v>
      </c>
      <c r="G416" t="s">
        <v>12</v>
      </c>
      <c r="H416">
        <v>0.97</v>
      </c>
      <c r="I416">
        <v>75</v>
      </c>
      <c r="K416" s="14">
        <v>43934</v>
      </c>
      <c r="L416" s="15">
        <v>0.30486111111111108</v>
      </c>
      <c r="M416" s="13" t="s">
        <v>14</v>
      </c>
      <c r="N416" s="13">
        <v>2.84</v>
      </c>
      <c r="O416" s="13">
        <v>30</v>
      </c>
      <c r="Q416" s="18">
        <v>43940</v>
      </c>
      <c r="R416" s="19">
        <v>0.94861111111111107</v>
      </c>
      <c r="S416" s="17" t="s">
        <v>20</v>
      </c>
      <c r="T416" s="17">
        <v>0.47</v>
      </c>
      <c r="U416" s="17">
        <v>300</v>
      </c>
    </row>
    <row r="417" spans="5:21" x14ac:dyDescent="0.25">
      <c r="E417" s="10">
        <v>43972</v>
      </c>
      <c r="F417" s="11">
        <v>0.75763888888888886</v>
      </c>
      <c r="G417" t="s">
        <v>12</v>
      </c>
      <c r="H417">
        <v>1.76</v>
      </c>
      <c r="I417">
        <v>150</v>
      </c>
      <c r="K417" s="14">
        <v>43934</v>
      </c>
      <c r="L417" s="15">
        <v>0.33402777777777781</v>
      </c>
      <c r="M417" s="13" t="s">
        <v>14</v>
      </c>
      <c r="N417" s="13">
        <v>0.7</v>
      </c>
      <c r="O417" s="13">
        <v>75</v>
      </c>
      <c r="Q417" s="18">
        <v>43968</v>
      </c>
      <c r="R417" s="19">
        <v>0.73611111111111116</v>
      </c>
      <c r="S417" s="17" t="s">
        <v>26</v>
      </c>
      <c r="T417" s="17">
        <v>0.1</v>
      </c>
      <c r="U417" s="17">
        <v>10</v>
      </c>
    </row>
    <row r="418" spans="5:21" x14ac:dyDescent="0.25">
      <c r="E418" s="10">
        <v>43972</v>
      </c>
      <c r="F418" s="11">
        <v>0.63541666666666663</v>
      </c>
      <c r="G418" t="s">
        <v>12</v>
      </c>
      <c r="H418">
        <v>0.56000000000000005</v>
      </c>
      <c r="I418">
        <v>50</v>
      </c>
      <c r="K418" s="14">
        <v>43972</v>
      </c>
      <c r="L418" s="15">
        <v>0.5805555555555556</v>
      </c>
      <c r="M418" s="13" t="s">
        <v>14</v>
      </c>
      <c r="N418" s="13">
        <v>0.2</v>
      </c>
      <c r="O418" s="13">
        <v>200</v>
      </c>
      <c r="Q418" s="18">
        <v>44064</v>
      </c>
      <c r="R418" s="19">
        <v>0.62708333333333333</v>
      </c>
      <c r="S418" s="17" t="s">
        <v>16</v>
      </c>
      <c r="T418" s="17">
        <v>0.09</v>
      </c>
      <c r="U418" s="17">
        <v>10</v>
      </c>
    </row>
    <row r="419" spans="5:21" x14ac:dyDescent="0.25">
      <c r="E419" s="10">
        <v>43972</v>
      </c>
      <c r="F419" s="11">
        <v>0.63541666666666663</v>
      </c>
      <c r="G419" t="s">
        <v>12</v>
      </c>
      <c r="H419">
        <v>0.31</v>
      </c>
      <c r="I419">
        <v>50</v>
      </c>
      <c r="K419" s="14">
        <v>43973</v>
      </c>
      <c r="L419" s="15">
        <v>0.57222222222222219</v>
      </c>
      <c r="M419" s="13" t="s">
        <v>14</v>
      </c>
      <c r="N419" s="13">
        <v>8.6300000000000008</v>
      </c>
      <c r="O419" s="13">
        <v>100</v>
      </c>
      <c r="Q419" s="18">
        <v>44053</v>
      </c>
      <c r="R419" s="19">
        <v>0.62291666666666667</v>
      </c>
      <c r="S419" s="17" t="s">
        <v>15</v>
      </c>
      <c r="T419" s="17">
        <v>1.97</v>
      </c>
      <c r="U419" s="17">
        <v>350</v>
      </c>
    </row>
    <row r="420" spans="5:21" x14ac:dyDescent="0.25">
      <c r="E420" s="10">
        <v>43972</v>
      </c>
      <c r="F420" s="11">
        <v>0.6118055555555556</v>
      </c>
      <c r="G420" t="s">
        <v>12</v>
      </c>
      <c r="H420">
        <v>7.0000000000000007E-2</v>
      </c>
      <c r="I420">
        <v>30</v>
      </c>
      <c r="K420" s="14">
        <v>43978</v>
      </c>
      <c r="L420" s="15">
        <v>0.71388888888888891</v>
      </c>
      <c r="M420" s="13" t="s">
        <v>14</v>
      </c>
      <c r="N420" s="13">
        <v>0.17</v>
      </c>
      <c r="O420" s="13">
        <v>150</v>
      </c>
      <c r="Q420" s="18">
        <v>44037</v>
      </c>
      <c r="R420" s="19">
        <v>0.88263888888888886</v>
      </c>
      <c r="S420" s="17" t="s">
        <v>6</v>
      </c>
      <c r="T420" s="17">
        <v>2.52</v>
      </c>
      <c r="U420" s="17">
        <v>100</v>
      </c>
    </row>
    <row r="421" spans="5:21" x14ac:dyDescent="0.25">
      <c r="E421" s="10">
        <v>43972</v>
      </c>
      <c r="F421" s="11">
        <v>0.71250000000000002</v>
      </c>
      <c r="G421" t="s">
        <v>12</v>
      </c>
      <c r="H421">
        <v>7.0000000000000007E-2</v>
      </c>
      <c r="I421">
        <v>50</v>
      </c>
      <c r="K421" s="14">
        <v>44046</v>
      </c>
      <c r="L421" s="15">
        <v>0.95138888888888884</v>
      </c>
      <c r="M421" s="13" t="s">
        <v>14</v>
      </c>
      <c r="N421" s="13">
        <v>0.71</v>
      </c>
      <c r="O421" s="13">
        <v>180</v>
      </c>
      <c r="Q421" s="18">
        <v>43918</v>
      </c>
      <c r="R421" s="19">
        <v>0.69374999999999998</v>
      </c>
      <c r="S421" s="17" t="s">
        <v>15</v>
      </c>
      <c r="T421" s="17">
        <v>0.12</v>
      </c>
      <c r="U421" s="17">
        <v>10</v>
      </c>
    </row>
    <row r="422" spans="5:21" x14ac:dyDescent="0.25">
      <c r="E422" s="10">
        <v>43972</v>
      </c>
      <c r="F422" s="11">
        <v>0.56458333333333333</v>
      </c>
      <c r="G422" t="s">
        <v>12</v>
      </c>
      <c r="H422">
        <v>0.01</v>
      </c>
      <c r="I422">
        <v>50</v>
      </c>
      <c r="K422" s="14">
        <v>44046</v>
      </c>
      <c r="L422" s="15">
        <v>0.77986111111111101</v>
      </c>
      <c r="M422" s="13" t="s">
        <v>14</v>
      </c>
      <c r="N422" s="13">
        <v>2.59</v>
      </c>
      <c r="O422" s="13">
        <v>30</v>
      </c>
      <c r="Q422" s="18">
        <v>43992</v>
      </c>
      <c r="R422" s="19">
        <v>0.80833333333333324</v>
      </c>
      <c r="S422" s="17" t="s">
        <v>27</v>
      </c>
      <c r="T422" s="17">
        <v>0.75</v>
      </c>
      <c r="U422" s="17">
        <v>75</v>
      </c>
    </row>
    <row r="423" spans="5:21" x14ac:dyDescent="0.25">
      <c r="E423" s="10">
        <v>43974</v>
      </c>
      <c r="F423" s="11">
        <v>0.75486111111111109</v>
      </c>
      <c r="G423" t="s">
        <v>12</v>
      </c>
      <c r="H423">
        <v>1.1100000000000001</v>
      </c>
      <c r="I423">
        <v>50</v>
      </c>
      <c r="K423" s="14">
        <v>44046</v>
      </c>
      <c r="L423" s="15">
        <v>0.9291666666666667</v>
      </c>
      <c r="M423" s="13" t="s">
        <v>14</v>
      </c>
      <c r="N423" s="13">
        <v>0.19</v>
      </c>
      <c r="O423" s="13">
        <v>70</v>
      </c>
      <c r="Q423" s="18">
        <v>43934</v>
      </c>
      <c r="R423" s="19">
        <v>0.31666666666666665</v>
      </c>
      <c r="S423" s="17" t="s">
        <v>14</v>
      </c>
      <c r="T423" s="17">
        <v>5.5</v>
      </c>
      <c r="U423" s="17">
        <v>640</v>
      </c>
    </row>
    <row r="424" spans="5:21" x14ac:dyDescent="0.25">
      <c r="E424" s="10">
        <v>43984</v>
      </c>
      <c r="F424" s="11">
        <v>0.62638888888888888</v>
      </c>
      <c r="G424" t="s">
        <v>12</v>
      </c>
      <c r="H424">
        <v>0.56999999999999995</v>
      </c>
      <c r="I424">
        <v>30</v>
      </c>
      <c r="K424" s="14">
        <v>44046</v>
      </c>
      <c r="L424" s="15">
        <v>0.89097222222222217</v>
      </c>
      <c r="M424" s="13" t="s">
        <v>14</v>
      </c>
      <c r="N424" s="13">
        <v>2.33</v>
      </c>
      <c r="O424" s="13">
        <v>40</v>
      </c>
      <c r="Q424" s="18">
        <v>43943</v>
      </c>
      <c r="R424" s="19">
        <v>0.64097222222222217</v>
      </c>
      <c r="S424" s="17" t="s">
        <v>33</v>
      </c>
      <c r="T424" s="17">
        <v>0.1</v>
      </c>
      <c r="U424" s="17">
        <v>20</v>
      </c>
    </row>
    <row r="425" spans="5:21" x14ac:dyDescent="0.25">
      <c r="E425" s="10">
        <v>43991</v>
      </c>
      <c r="F425" s="11">
        <v>0.72638888888888886</v>
      </c>
      <c r="G425" t="s">
        <v>12</v>
      </c>
      <c r="H425">
        <v>0.01</v>
      </c>
      <c r="I425">
        <v>10</v>
      </c>
      <c r="K425" s="14">
        <v>44046</v>
      </c>
      <c r="L425" s="15">
        <v>0.74652777777777779</v>
      </c>
      <c r="M425" s="13" t="s">
        <v>14</v>
      </c>
      <c r="N425" s="13">
        <v>8.3000000000000007</v>
      </c>
      <c r="O425" s="13">
        <v>80</v>
      </c>
      <c r="Q425" s="18">
        <v>43943</v>
      </c>
      <c r="R425" s="19">
        <v>0.67361111111111116</v>
      </c>
      <c r="S425" s="17" t="s">
        <v>33</v>
      </c>
      <c r="T425" s="17">
        <v>1.4</v>
      </c>
      <c r="U425" s="17">
        <v>50</v>
      </c>
    </row>
    <row r="426" spans="5:21" x14ac:dyDescent="0.25">
      <c r="E426" s="10">
        <v>44003</v>
      </c>
      <c r="F426" s="11">
        <v>0.57638888888888895</v>
      </c>
      <c r="G426" t="s">
        <v>12</v>
      </c>
      <c r="H426">
        <v>5.82</v>
      </c>
      <c r="I426">
        <v>100</v>
      </c>
      <c r="K426" s="14">
        <v>44046</v>
      </c>
      <c r="L426" s="15">
        <v>0.95000000000000007</v>
      </c>
      <c r="M426" s="13" t="s">
        <v>14</v>
      </c>
      <c r="N426" s="13">
        <v>0.08</v>
      </c>
      <c r="O426" s="13">
        <v>50</v>
      </c>
      <c r="Q426" s="18">
        <v>43971</v>
      </c>
      <c r="R426" s="19">
        <v>0.77638888888888891</v>
      </c>
      <c r="S426" s="17" t="s">
        <v>7</v>
      </c>
      <c r="T426" s="17">
        <v>0.9</v>
      </c>
      <c r="U426" s="17">
        <v>50</v>
      </c>
    </row>
    <row r="427" spans="5:21" x14ac:dyDescent="0.25">
      <c r="E427" s="10">
        <v>44013</v>
      </c>
      <c r="F427" s="11">
        <v>0.7729166666666667</v>
      </c>
      <c r="G427" t="s">
        <v>12</v>
      </c>
      <c r="H427">
        <v>6.2</v>
      </c>
      <c r="I427">
        <v>100</v>
      </c>
      <c r="K427" s="14">
        <v>44046</v>
      </c>
      <c r="L427" s="15">
        <v>0.76041666666666663</v>
      </c>
      <c r="M427" s="13" t="s">
        <v>14</v>
      </c>
      <c r="N427" s="13">
        <v>0.27</v>
      </c>
      <c r="O427" s="13">
        <v>25</v>
      </c>
      <c r="Q427" s="18">
        <v>43933</v>
      </c>
      <c r="R427" s="19">
        <v>0.71111111111111114</v>
      </c>
      <c r="S427" s="17" t="s">
        <v>20</v>
      </c>
      <c r="T427" s="17">
        <v>0.78</v>
      </c>
      <c r="U427" s="17">
        <v>115</v>
      </c>
    </row>
    <row r="428" spans="5:21" x14ac:dyDescent="0.25">
      <c r="E428" s="10">
        <v>44057</v>
      </c>
      <c r="F428" s="11">
        <v>0.65902777777777777</v>
      </c>
      <c r="G428" t="s">
        <v>12</v>
      </c>
      <c r="H428">
        <v>1.34</v>
      </c>
      <c r="I428">
        <v>100</v>
      </c>
      <c r="K428" s="14">
        <v>44046</v>
      </c>
      <c r="L428" s="15">
        <v>0.83263888888888893</v>
      </c>
      <c r="M428" s="13" t="s">
        <v>14</v>
      </c>
      <c r="N428" s="13">
        <v>1.48</v>
      </c>
      <c r="O428" s="13">
        <v>40</v>
      </c>
      <c r="Q428" s="18">
        <v>44145</v>
      </c>
      <c r="R428" s="19">
        <v>0.57291666666666663</v>
      </c>
      <c r="S428" s="17" t="s">
        <v>15</v>
      </c>
      <c r="T428" s="17">
        <v>20.34</v>
      </c>
      <c r="U428" s="17">
        <v>50</v>
      </c>
    </row>
    <row r="429" spans="5:21" x14ac:dyDescent="0.25">
      <c r="E429" s="10">
        <v>44057</v>
      </c>
      <c r="F429" s="11">
        <v>0.64583333333333337</v>
      </c>
      <c r="G429" t="s">
        <v>12</v>
      </c>
      <c r="H429">
        <v>1.24</v>
      </c>
      <c r="I429">
        <v>50</v>
      </c>
      <c r="K429" s="14">
        <v>44046</v>
      </c>
      <c r="L429" s="15">
        <v>0.91805555555555562</v>
      </c>
      <c r="M429" s="13" t="s">
        <v>14</v>
      </c>
      <c r="N429" s="13">
        <v>0.17</v>
      </c>
      <c r="O429" s="13">
        <v>40</v>
      </c>
      <c r="Q429" s="18">
        <v>44115</v>
      </c>
      <c r="R429" s="19">
        <v>0.66041666666666665</v>
      </c>
      <c r="S429" s="17" t="s">
        <v>14</v>
      </c>
      <c r="T429" s="17">
        <v>5.49</v>
      </c>
      <c r="U429" s="17">
        <v>30</v>
      </c>
    </row>
    <row r="430" spans="5:21" x14ac:dyDescent="0.25">
      <c r="E430" s="10">
        <v>43841</v>
      </c>
      <c r="F430" s="11">
        <v>0.31527777777777777</v>
      </c>
      <c r="G430" t="s">
        <v>11</v>
      </c>
      <c r="H430">
        <v>10.94</v>
      </c>
      <c r="I430">
        <v>100</v>
      </c>
      <c r="K430" s="14">
        <v>44046</v>
      </c>
      <c r="L430" s="15">
        <v>0.76041666666666663</v>
      </c>
      <c r="M430" s="13" t="s">
        <v>14</v>
      </c>
      <c r="N430" s="13">
        <v>1.6</v>
      </c>
      <c r="O430" s="13">
        <v>20</v>
      </c>
      <c r="Q430" s="18">
        <v>43933</v>
      </c>
      <c r="R430" s="19">
        <v>0.79999999999999993</v>
      </c>
      <c r="S430" s="17" t="s">
        <v>20</v>
      </c>
      <c r="T430" s="17">
        <v>2.9</v>
      </c>
      <c r="U430" s="17">
        <v>1000</v>
      </c>
    </row>
    <row r="431" spans="5:21" x14ac:dyDescent="0.25">
      <c r="E431" s="10">
        <v>43841</v>
      </c>
      <c r="F431" s="11">
        <v>0.2951388888888889</v>
      </c>
      <c r="G431" t="s">
        <v>11</v>
      </c>
      <c r="H431">
        <v>10.02</v>
      </c>
      <c r="I431">
        <v>250</v>
      </c>
      <c r="K431" s="14">
        <v>44046</v>
      </c>
      <c r="L431" s="15">
        <v>0.96875</v>
      </c>
      <c r="M431" s="13" t="s">
        <v>14</v>
      </c>
      <c r="N431" s="13">
        <v>10</v>
      </c>
      <c r="O431" s="13">
        <v>600</v>
      </c>
      <c r="Q431" s="18">
        <v>43841</v>
      </c>
      <c r="R431" s="19">
        <v>0.24861111111111112</v>
      </c>
      <c r="S431" s="17" t="s">
        <v>21</v>
      </c>
      <c r="T431" s="17">
        <v>0.08</v>
      </c>
      <c r="U431" s="17">
        <v>75</v>
      </c>
    </row>
    <row r="432" spans="5:21" x14ac:dyDescent="0.25">
      <c r="E432" s="10">
        <v>43841</v>
      </c>
      <c r="F432" s="11">
        <v>0.3</v>
      </c>
      <c r="G432" t="s">
        <v>11</v>
      </c>
      <c r="H432">
        <v>7.49</v>
      </c>
      <c r="I432">
        <v>175</v>
      </c>
      <c r="K432" s="14">
        <v>44047</v>
      </c>
      <c r="L432" s="15">
        <v>2.5694444444444447E-2</v>
      </c>
      <c r="M432" s="13" t="s">
        <v>14</v>
      </c>
      <c r="N432" s="13">
        <v>3</v>
      </c>
      <c r="O432" s="13">
        <v>50</v>
      </c>
      <c r="Q432" s="18">
        <v>43944</v>
      </c>
      <c r="R432" s="19">
        <v>0.56736111111111109</v>
      </c>
      <c r="S432" s="17" t="s">
        <v>9</v>
      </c>
      <c r="T432" s="17">
        <v>0.3</v>
      </c>
      <c r="U432" s="17">
        <v>50</v>
      </c>
    </row>
    <row r="433" spans="5:21" x14ac:dyDescent="0.25">
      <c r="E433" s="10">
        <v>43841</v>
      </c>
      <c r="F433" s="11">
        <v>0.28472222222222221</v>
      </c>
      <c r="G433" t="s">
        <v>11</v>
      </c>
      <c r="H433">
        <v>4.4800000000000004</v>
      </c>
      <c r="I433">
        <v>75</v>
      </c>
      <c r="K433" s="14">
        <v>44047</v>
      </c>
      <c r="L433" s="15">
        <v>7.6388888888888886E-3</v>
      </c>
      <c r="M433" s="13" t="s">
        <v>14</v>
      </c>
      <c r="N433" s="13">
        <v>5</v>
      </c>
      <c r="O433" s="13">
        <v>100</v>
      </c>
      <c r="Q433" s="18">
        <v>43979</v>
      </c>
      <c r="R433" s="19">
        <v>0.76736111111111116</v>
      </c>
      <c r="S433" s="17" t="s">
        <v>15</v>
      </c>
      <c r="T433" s="17">
        <v>0.36</v>
      </c>
      <c r="U433" s="17">
        <v>20</v>
      </c>
    </row>
    <row r="434" spans="5:21" x14ac:dyDescent="0.25">
      <c r="E434" s="10">
        <v>43841</v>
      </c>
      <c r="F434" s="11">
        <v>0.29166666666666669</v>
      </c>
      <c r="G434" t="s">
        <v>11</v>
      </c>
      <c r="H434">
        <v>4.18</v>
      </c>
      <c r="I434">
        <v>50</v>
      </c>
      <c r="K434" s="14">
        <v>44091</v>
      </c>
      <c r="L434" s="15">
        <v>0.98125000000000007</v>
      </c>
      <c r="M434" s="13" t="s">
        <v>14</v>
      </c>
      <c r="N434" s="13">
        <v>0.1</v>
      </c>
      <c r="O434" s="13">
        <v>20</v>
      </c>
      <c r="Q434" s="18">
        <v>44037</v>
      </c>
      <c r="R434" s="19">
        <v>5.9722222222222225E-2</v>
      </c>
      <c r="S434" s="17" t="s">
        <v>8</v>
      </c>
      <c r="T434" s="17">
        <v>0.4</v>
      </c>
      <c r="U434" s="17">
        <v>40</v>
      </c>
    </row>
    <row r="435" spans="5:21" x14ac:dyDescent="0.25">
      <c r="E435" s="10">
        <v>43841</v>
      </c>
      <c r="F435" s="11">
        <v>0.30486111111111108</v>
      </c>
      <c r="G435" t="s">
        <v>11</v>
      </c>
      <c r="H435">
        <v>2.98</v>
      </c>
      <c r="I435">
        <v>200</v>
      </c>
      <c r="K435" s="14">
        <v>44091</v>
      </c>
      <c r="L435" s="15">
        <v>0.76180555555555562</v>
      </c>
      <c r="M435" s="13" t="s">
        <v>14</v>
      </c>
      <c r="N435" s="13">
        <v>0.09</v>
      </c>
      <c r="O435" s="13">
        <v>20</v>
      </c>
      <c r="Q435" s="18">
        <v>43933</v>
      </c>
      <c r="R435" s="19">
        <v>2.0833333333333333E-3</v>
      </c>
      <c r="S435" s="17" t="s">
        <v>6</v>
      </c>
      <c r="T435" s="17">
        <v>5.62</v>
      </c>
      <c r="U435" s="17">
        <v>250</v>
      </c>
    </row>
    <row r="436" spans="5:21" x14ac:dyDescent="0.25">
      <c r="E436" s="10">
        <v>43841</v>
      </c>
      <c r="F436" s="11">
        <v>0.31944444444444448</v>
      </c>
      <c r="G436" t="s">
        <v>11</v>
      </c>
      <c r="H436">
        <v>2.61</v>
      </c>
      <c r="I436">
        <v>50</v>
      </c>
      <c r="K436" s="14">
        <v>44091</v>
      </c>
      <c r="L436" s="15">
        <v>0.81111111111111101</v>
      </c>
      <c r="M436" s="13" t="s">
        <v>14</v>
      </c>
      <c r="N436" s="13">
        <v>0.15</v>
      </c>
      <c r="O436" s="13">
        <v>20</v>
      </c>
      <c r="Q436" s="18">
        <v>43840</v>
      </c>
      <c r="R436" s="19">
        <v>0.7368055555555556</v>
      </c>
      <c r="S436" s="17" t="s">
        <v>6</v>
      </c>
      <c r="T436" s="17">
        <v>1.05</v>
      </c>
      <c r="U436" s="17">
        <v>250</v>
      </c>
    </row>
    <row r="437" spans="5:21" x14ac:dyDescent="0.25">
      <c r="E437" s="10">
        <v>43841</v>
      </c>
      <c r="F437" s="11">
        <v>0.23750000000000002</v>
      </c>
      <c r="G437" t="s">
        <v>11</v>
      </c>
      <c r="H437">
        <v>2.34</v>
      </c>
      <c r="I437">
        <v>25</v>
      </c>
      <c r="K437" s="14">
        <v>44091</v>
      </c>
      <c r="L437" s="15">
        <v>0.8027777777777777</v>
      </c>
      <c r="M437" s="13" t="s">
        <v>14</v>
      </c>
      <c r="N437" s="13">
        <v>0.15</v>
      </c>
      <c r="O437" s="13">
        <v>25</v>
      </c>
      <c r="Q437" s="18">
        <v>44070</v>
      </c>
      <c r="R437" s="19">
        <v>0.7284722222222223</v>
      </c>
      <c r="S437" s="17" t="s">
        <v>29</v>
      </c>
      <c r="T437" s="17">
        <v>2.15</v>
      </c>
      <c r="U437" s="17">
        <v>60</v>
      </c>
    </row>
    <row r="438" spans="5:21" x14ac:dyDescent="0.25">
      <c r="E438" s="10">
        <v>43841</v>
      </c>
      <c r="F438" s="11">
        <v>0.22013888888888888</v>
      </c>
      <c r="G438" t="s">
        <v>11</v>
      </c>
      <c r="H438">
        <v>1.98</v>
      </c>
      <c r="I438">
        <v>230</v>
      </c>
      <c r="K438" s="14">
        <v>44115</v>
      </c>
      <c r="L438" s="15">
        <v>0.66041666666666665</v>
      </c>
      <c r="M438" s="13" t="s">
        <v>14</v>
      </c>
      <c r="N438" s="13">
        <v>5.49</v>
      </c>
      <c r="O438" s="13">
        <v>30</v>
      </c>
      <c r="Q438" s="18">
        <v>44052</v>
      </c>
      <c r="R438" s="19">
        <v>0.55347222222222225</v>
      </c>
      <c r="S438" s="17" t="s">
        <v>31</v>
      </c>
      <c r="T438" s="17">
        <v>2.87</v>
      </c>
      <c r="U438" s="17">
        <v>150</v>
      </c>
    </row>
    <row r="439" spans="5:21" x14ac:dyDescent="0.25">
      <c r="E439" s="10">
        <v>43892</v>
      </c>
      <c r="F439" s="11">
        <v>0.83333333333333337</v>
      </c>
      <c r="G439" t="s">
        <v>11</v>
      </c>
      <c r="H439">
        <v>5.51</v>
      </c>
      <c r="I439">
        <v>400</v>
      </c>
      <c r="K439" s="14">
        <v>44189</v>
      </c>
      <c r="L439" s="15">
        <v>0.4694444444444445</v>
      </c>
      <c r="M439" s="13" t="s">
        <v>14</v>
      </c>
      <c r="N439" s="13">
        <v>0.14000000000000001</v>
      </c>
      <c r="O439" s="13">
        <v>20</v>
      </c>
      <c r="Q439" s="18">
        <v>44010</v>
      </c>
      <c r="R439" s="19">
        <v>0.83333333333333337</v>
      </c>
      <c r="S439" s="17" t="s">
        <v>31</v>
      </c>
      <c r="T439" s="17">
        <v>0.39</v>
      </c>
      <c r="U439" s="17">
        <v>50</v>
      </c>
    </row>
    <row r="440" spans="5:21" x14ac:dyDescent="0.25">
      <c r="E440" s="10">
        <v>43893</v>
      </c>
      <c r="F440" s="11">
        <v>1.0416666666666666E-2</v>
      </c>
      <c r="G440" t="s">
        <v>11</v>
      </c>
      <c r="H440">
        <v>2.7</v>
      </c>
      <c r="I440">
        <v>250</v>
      </c>
      <c r="K440" s="14">
        <v>43971</v>
      </c>
      <c r="L440" s="15">
        <v>0.88680555555555562</v>
      </c>
      <c r="M440" s="13" t="s">
        <v>41</v>
      </c>
      <c r="N440" s="13">
        <v>0.82</v>
      </c>
      <c r="O440" s="13">
        <v>50</v>
      </c>
      <c r="Q440" s="18">
        <v>44091</v>
      </c>
      <c r="R440" s="19">
        <v>0.76180555555555562</v>
      </c>
      <c r="S440" s="17" t="s">
        <v>14</v>
      </c>
      <c r="T440" s="17">
        <v>0.09</v>
      </c>
      <c r="U440" s="17">
        <v>20</v>
      </c>
    </row>
    <row r="441" spans="5:21" x14ac:dyDescent="0.25">
      <c r="E441" s="10">
        <v>43902</v>
      </c>
      <c r="F441" s="11">
        <v>0.83819444444444446</v>
      </c>
      <c r="G441" t="s">
        <v>11</v>
      </c>
      <c r="H441">
        <v>1.66</v>
      </c>
      <c r="I441">
        <v>175</v>
      </c>
      <c r="K441" s="14">
        <v>44019</v>
      </c>
      <c r="L441" s="15">
        <v>0.66527777777777775</v>
      </c>
      <c r="M441" s="13" t="s">
        <v>41</v>
      </c>
      <c r="N441" s="13">
        <v>0.14000000000000001</v>
      </c>
      <c r="O441" s="13">
        <v>20</v>
      </c>
      <c r="Q441" s="18">
        <v>44065</v>
      </c>
      <c r="R441" s="19">
        <v>0.50347222222222221</v>
      </c>
      <c r="S441" s="17" t="s">
        <v>44</v>
      </c>
      <c r="T441" s="17">
        <v>1.65</v>
      </c>
      <c r="U441" s="17">
        <v>50</v>
      </c>
    </row>
    <row r="442" spans="5:21" x14ac:dyDescent="0.25">
      <c r="E442" s="10">
        <v>43918</v>
      </c>
      <c r="F442" s="11">
        <v>0.79027777777777775</v>
      </c>
      <c r="G442" t="s">
        <v>11</v>
      </c>
      <c r="H442">
        <v>16.79</v>
      </c>
      <c r="I442">
        <v>500</v>
      </c>
      <c r="K442" s="14">
        <v>44019</v>
      </c>
      <c r="L442" s="15">
        <v>0.67361111111111116</v>
      </c>
      <c r="M442" s="13" t="s">
        <v>41</v>
      </c>
      <c r="N442" s="13">
        <v>0.15</v>
      </c>
      <c r="O442" s="13">
        <v>50</v>
      </c>
      <c r="Q442" s="18">
        <v>44114</v>
      </c>
      <c r="R442" s="19">
        <v>0.73958333333333337</v>
      </c>
      <c r="S442" s="17" t="s">
        <v>9</v>
      </c>
      <c r="T442" s="17">
        <v>0.56000000000000005</v>
      </c>
      <c r="U442" s="17">
        <v>150</v>
      </c>
    </row>
    <row r="443" spans="5:21" x14ac:dyDescent="0.25">
      <c r="E443" s="10">
        <v>43918</v>
      </c>
      <c r="F443" s="11">
        <v>0.8041666666666667</v>
      </c>
      <c r="G443" t="s">
        <v>11</v>
      </c>
      <c r="H443">
        <v>5.0599999999999996</v>
      </c>
      <c r="I443">
        <v>575</v>
      </c>
      <c r="K443" s="14">
        <v>43841</v>
      </c>
      <c r="L443" s="15">
        <v>0.18472222222222223</v>
      </c>
      <c r="M443" s="13" t="s">
        <v>24</v>
      </c>
      <c r="N443" s="13">
        <v>2.2400000000000002</v>
      </c>
      <c r="O443" s="13">
        <v>100</v>
      </c>
      <c r="Q443" s="18">
        <v>43893</v>
      </c>
      <c r="R443" s="19">
        <v>0.10069444444444443</v>
      </c>
      <c r="S443" s="17" t="s">
        <v>21</v>
      </c>
      <c r="T443" s="17">
        <v>10.07</v>
      </c>
      <c r="U443" s="17">
        <v>500</v>
      </c>
    </row>
    <row r="444" spans="5:21" x14ac:dyDescent="0.25">
      <c r="E444" s="10">
        <v>43918</v>
      </c>
      <c r="F444" s="11">
        <v>0.8041666666666667</v>
      </c>
      <c r="G444" t="s">
        <v>11</v>
      </c>
      <c r="H444">
        <v>0.86</v>
      </c>
      <c r="I444">
        <v>100</v>
      </c>
      <c r="K444" s="14">
        <v>43841</v>
      </c>
      <c r="L444" s="15">
        <v>0.17152777777777775</v>
      </c>
      <c r="M444" s="13" t="s">
        <v>24</v>
      </c>
      <c r="N444" s="13">
        <v>2.5499999999999998</v>
      </c>
      <c r="O444" s="13">
        <v>270</v>
      </c>
      <c r="Q444" s="18">
        <v>43941</v>
      </c>
      <c r="R444" s="19">
        <v>0.31597222222222221</v>
      </c>
      <c r="S444" s="17" t="s">
        <v>19</v>
      </c>
      <c r="T444" s="17">
        <v>0.46</v>
      </c>
      <c r="U444" s="17">
        <v>500</v>
      </c>
    </row>
    <row r="445" spans="5:21" x14ac:dyDescent="0.25">
      <c r="E445" s="10">
        <v>43929</v>
      </c>
      <c r="F445" s="11">
        <v>0.86597222222222225</v>
      </c>
      <c r="G445" t="s">
        <v>11</v>
      </c>
      <c r="H445">
        <v>19.2</v>
      </c>
      <c r="I445">
        <v>400</v>
      </c>
      <c r="K445" s="14">
        <v>43841</v>
      </c>
      <c r="L445" s="15">
        <v>0.29722222222222222</v>
      </c>
      <c r="M445" s="13" t="s">
        <v>24</v>
      </c>
      <c r="N445" s="13">
        <v>5.71</v>
      </c>
      <c r="O445" s="13">
        <v>120</v>
      </c>
      <c r="Q445" s="18">
        <v>44059</v>
      </c>
      <c r="R445" s="19">
        <v>0.78125</v>
      </c>
      <c r="S445" s="17" t="s">
        <v>7</v>
      </c>
      <c r="T445" s="17">
        <v>0.1</v>
      </c>
      <c r="U445" s="17">
        <v>10</v>
      </c>
    </row>
    <row r="446" spans="5:21" x14ac:dyDescent="0.25">
      <c r="E446" s="10">
        <v>43929</v>
      </c>
      <c r="F446" s="11">
        <v>0.88888888888888884</v>
      </c>
      <c r="G446" t="s">
        <v>11</v>
      </c>
      <c r="H446">
        <v>4</v>
      </c>
      <c r="I446">
        <v>45</v>
      </c>
      <c r="K446" s="14">
        <v>43841</v>
      </c>
      <c r="L446" s="15">
        <v>0.15833333333333333</v>
      </c>
      <c r="M446" s="13" t="s">
        <v>24</v>
      </c>
      <c r="N446" s="13">
        <v>23.38</v>
      </c>
      <c r="O446" s="13">
        <v>1800</v>
      </c>
      <c r="Q446" s="18">
        <v>44145</v>
      </c>
      <c r="R446" s="19">
        <v>0.60972222222222217</v>
      </c>
      <c r="S446" s="17" t="s">
        <v>15</v>
      </c>
      <c r="T446" s="17">
        <v>0.26</v>
      </c>
      <c r="U446" s="17">
        <v>100</v>
      </c>
    </row>
    <row r="447" spans="5:21" x14ac:dyDescent="0.25">
      <c r="E447" s="10">
        <v>43929</v>
      </c>
      <c r="F447" s="11">
        <v>0.86111111111111116</v>
      </c>
      <c r="G447" t="s">
        <v>11</v>
      </c>
      <c r="H447">
        <v>2.4</v>
      </c>
      <c r="I447">
        <v>500</v>
      </c>
      <c r="K447" s="14">
        <v>43841</v>
      </c>
      <c r="L447" s="15">
        <v>0.19791666666666666</v>
      </c>
      <c r="M447" s="13" t="s">
        <v>24</v>
      </c>
      <c r="N447" s="13">
        <v>5.67</v>
      </c>
      <c r="O447" s="13">
        <v>150</v>
      </c>
      <c r="Q447" s="18">
        <v>43918</v>
      </c>
      <c r="R447" s="19">
        <v>0.80486111111111114</v>
      </c>
      <c r="S447" s="17" t="s">
        <v>22</v>
      </c>
      <c r="T447" s="17">
        <v>4.2</v>
      </c>
      <c r="U447" s="17">
        <v>575</v>
      </c>
    </row>
    <row r="448" spans="5:21" x14ac:dyDescent="0.25">
      <c r="E448" s="10">
        <v>43929</v>
      </c>
      <c r="F448" s="11">
        <v>0.89236111111111116</v>
      </c>
      <c r="G448" t="s">
        <v>11</v>
      </c>
      <c r="H448">
        <v>1.2</v>
      </c>
      <c r="I448">
        <v>50</v>
      </c>
      <c r="K448" s="14">
        <v>43841</v>
      </c>
      <c r="L448" s="15">
        <v>0.20347222222222219</v>
      </c>
      <c r="M448" s="13" t="s">
        <v>24</v>
      </c>
      <c r="N448" s="13">
        <v>8.2100000000000009</v>
      </c>
      <c r="O448" s="13">
        <v>300</v>
      </c>
      <c r="Q448" s="18">
        <v>43977</v>
      </c>
      <c r="R448" s="19">
        <v>0.62013888888888891</v>
      </c>
      <c r="S448" s="17" t="s">
        <v>23</v>
      </c>
      <c r="T448" s="17">
        <v>2.94</v>
      </c>
      <c r="U448" s="17">
        <v>35</v>
      </c>
    </row>
    <row r="449" spans="5:21" x14ac:dyDescent="0.25">
      <c r="E449" s="10">
        <v>43929</v>
      </c>
      <c r="F449" s="11">
        <v>0.86249999999999993</v>
      </c>
      <c r="G449" t="s">
        <v>11</v>
      </c>
      <c r="H449">
        <v>1.2</v>
      </c>
      <c r="I449">
        <v>100</v>
      </c>
      <c r="K449" s="14">
        <v>43841</v>
      </c>
      <c r="L449" s="15">
        <v>0.19583333333333333</v>
      </c>
      <c r="M449" s="13" t="s">
        <v>24</v>
      </c>
      <c r="N449" s="13">
        <v>11.27</v>
      </c>
      <c r="O449" s="13">
        <v>200</v>
      </c>
      <c r="Q449" s="18">
        <v>44006</v>
      </c>
      <c r="R449" s="19">
        <v>0.27430555555555552</v>
      </c>
      <c r="S449" s="17" t="s">
        <v>24</v>
      </c>
      <c r="T449" s="17">
        <v>0.4</v>
      </c>
      <c r="U449" s="17">
        <v>50</v>
      </c>
    </row>
    <row r="450" spans="5:21" x14ac:dyDescent="0.25">
      <c r="E450" s="10">
        <v>43929</v>
      </c>
      <c r="F450" s="11">
        <v>0.88611111111111107</v>
      </c>
      <c r="G450" t="s">
        <v>11</v>
      </c>
      <c r="H450">
        <v>1.03</v>
      </c>
      <c r="I450">
        <v>50</v>
      </c>
      <c r="K450" s="14">
        <v>43841</v>
      </c>
      <c r="L450" s="15">
        <v>0.16805555555555554</v>
      </c>
      <c r="M450" s="13" t="s">
        <v>24</v>
      </c>
      <c r="N450" s="13">
        <v>4.18</v>
      </c>
      <c r="O450" s="13">
        <v>880</v>
      </c>
      <c r="Q450" s="18">
        <v>43841</v>
      </c>
      <c r="R450" s="19">
        <v>9.6527777777777768E-2</v>
      </c>
      <c r="S450" s="17" t="s">
        <v>26</v>
      </c>
      <c r="T450" s="17">
        <v>3.05</v>
      </c>
      <c r="U450" s="17">
        <v>250</v>
      </c>
    </row>
    <row r="451" spans="5:21" x14ac:dyDescent="0.25">
      <c r="E451" s="10">
        <v>43929</v>
      </c>
      <c r="F451" s="11">
        <v>0.8520833333333333</v>
      </c>
      <c r="G451" t="s">
        <v>11</v>
      </c>
      <c r="H451">
        <v>0.5</v>
      </c>
      <c r="I451">
        <v>50</v>
      </c>
      <c r="K451" s="14">
        <v>43841</v>
      </c>
      <c r="L451" s="15">
        <v>0.17916666666666667</v>
      </c>
      <c r="M451" s="13" t="s">
        <v>24</v>
      </c>
      <c r="N451" s="13">
        <v>5.54</v>
      </c>
      <c r="O451" s="13">
        <v>1700</v>
      </c>
      <c r="Q451" s="18">
        <v>43965</v>
      </c>
      <c r="R451" s="19">
        <v>0.80555555555555547</v>
      </c>
      <c r="S451" s="17" t="s">
        <v>12</v>
      </c>
      <c r="T451" s="17">
        <v>0.97</v>
      </c>
      <c r="U451" s="17">
        <v>75</v>
      </c>
    </row>
    <row r="452" spans="5:21" x14ac:dyDescent="0.25">
      <c r="E452" s="10">
        <v>44127</v>
      </c>
      <c r="F452" s="11">
        <v>0.59583333333333333</v>
      </c>
      <c r="G452" t="s">
        <v>11</v>
      </c>
      <c r="H452">
        <v>0.35</v>
      </c>
      <c r="I452">
        <v>30</v>
      </c>
      <c r="K452" s="14">
        <v>43841</v>
      </c>
      <c r="L452" s="15">
        <v>0.17986111111111111</v>
      </c>
      <c r="M452" s="13" t="s">
        <v>24</v>
      </c>
      <c r="N452" s="13">
        <v>5.43</v>
      </c>
      <c r="O452" s="13">
        <v>850</v>
      </c>
      <c r="Q452" s="18">
        <v>43841</v>
      </c>
      <c r="R452" s="19">
        <v>0.22013888888888888</v>
      </c>
      <c r="S452" s="17" t="s">
        <v>11</v>
      </c>
      <c r="T452" s="17">
        <v>1.98</v>
      </c>
      <c r="U452" s="17">
        <v>230</v>
      </c>
    </row>
    <row r="453" spans="5:21" x14ac:dyDescent="0.25">
      <c r="E453" s="10">
        <v>43841</v>
      </c>
      <c r="F453" s="11">
        <v>5.8333333333333327E-2</v>
      </c>
      <c r="G453" t="s">
        <v>26</v>
      </c>
      <c r="H453">
        <v>31.79</v>
      </c>
      <c r="I453">
        <v>300</v>
      </c>
      <c r="K453" s="14">
        <v>43841</v>
      </c>
      <c r="L453" s="15">
        <v>0.28125</v>
      </c>
      <c r="M453" s="13" t="s">
        <v>24</v>
      </c>
      <c r="N453" s="13">
        <v>7.23</v>
      </c>
      <c r="O453" s="13">
        <v>100</v>
      </c>
      <c r="Q453" s="18">
        <v>43933</v>
      </c>
      <c r="R453" s="19">
        <v>0.36180555555555555</v>
      </c>
      <c r="S453" s="17" t="s">
        <v>26</v>
      </c>
      <c r="T453" s="17">
        <v>9.0500000000000007</v>
      </c>
      <c r="U453" s="17">
        <v>400</v>
      </c>
    </row>
    <row r="454" spans="5:21" x14ac:dyDescent="0.25">
      <c r="E454" s="10">
        <v>43841</v>
      </c>
      <c r="F454" s="11">
        <v>9.6527777777777768E-2</v>
      </c>
      <c r="G454" t="s">
        <v>26</v>
      </c>
      <c r="H454">
        <v>3.05</v>
      </c>
      <c r="I454">
        <v>250</v>
      </c>
      <c r="K454" s="14">
        <v>43841</v>
      </c>
      <c r="L454" s="15">
        <v>0.22291666666666665</v>
      </c>
      <c r="M454" s="13" t="s">
        <v>24</v>
      </c>
      <c r="N454" s="13">
        <v>5.85</v>
      </c>
      <c r="O454" s="13">
        <v>70</v>
      </c>
      <c r="Q454" s="18">
        <v>44020</v>
      </c>
      <c r="R454" s="19">
        <v>0.17361111111111113</v>
      </c>
      <c r="S454" s="17" t="s">
        <v>8</v>
      </c>
      <c r="T454" s="17">
        <v>2</v>
      </c>
      <c r="U454" s="17">
        <v>300</v>
      </c>
    </row>
    <row r="455" spans="5:21" x14ac:dyDescent="0.25">
      <c r="E455" s="10">
        <v>43841</v>
      </c>
      <c r="F455" s="11">
        <v>0.25277777777777777</v>
      </c>
      <c r="G455" t="s">
        <v>26</v>
      </c>
      <c r="H455">
        <v>1.2</v>
      </c>
      <c r="I455">
        <v>125</v>
      </c>
      <c r="K455" s="14">
        <v>43841</v>
      </c>
      <c r="L455" s="15">
        <v>0.3034722222222222</v>
      </c>
      <c r="M455" s="13" t="s">
        <v>24</v>
      </c>
      <c r="N455" s="13">
        <v>0.72</v>
      </c>
      <c r="O455" s="13">
        <v>80</v>
      </c>
      <c r="Q455" s="18">
        <v>43940</v>
      </c>
      <c r="R455" s="19">
        <v>0.92083333333333339</v>
      </c>
      <c r="S455" s="17" t="s">
        <v>20</v>
      </c>
      <c r="T455" s="17">
        <v>3.17</v>
      </c>
      <c r="U455" s="17">
        <v>75</v>
      </c>
    </row>
    <row r="456" spans="5:21" x14ac:dyDescent="0.25">
      <c r="E456" s="10">
        <v>43933</v>
      </c>
      <c r="F456" s="11">
        <v>0.46527777777777773</v>
      </c>
      <c r="G456" t="s">
        <v>26</v>
      </c>
      <c r="H456">
        <v>9.52</v>
      </c>
      <c r="I456">
        <v>700</v>
      </c>
      <c r="K456" s="14">
        <v>43841</v>
      </c>
      <c r="L456" s="15">
        <v>0.3979166666666667</v>
      </c>
      <c r="M456" s="13" t="s">
        <v>24</v>
      </c>
      <c r="N456" s="13">
        <v>2.96</v>
      </c>
      <c r="O456" s="13">
        <v>250</v>
      </c>
      <c r="Q456" s="18">
        <v>43866</v>
      </c>
      <c r="R456" s="19">
        <v>0.82986111111111116</v>
      </c>
      <c r="S456" s="17" t="s">
        <v>21</v>
      </c>
      <c r="T456" s="17">
        <v>3.86</v>
      </c>
      <c r="U456" s="17">
        <v>200</v>
      </c>
    </row>
    <row r="457" spans="5:21" x14ac:dyDescent="0.25">
      <c r="E457" s="10">
        <v>43933</v>
      </c>
      <c r="F457" s="11">
        <v>0.36180555555555555</v>
      </c>
      <c r="G457" t="s">
        <v>26</v>
      </c>
      <c r="H457">
        <v>9.0500000000000007</v>
      </c>
      <c r="I457">
        <v>400</v>
      </c>
      <c r="K457" s="14">
        <v>43841</v>
      </c>
      <c r="L457" s="15">
        <v>0.15555555555555556</v>
      </c>
      <c r="M457" s="13" t="s">
        <v>24</v>
      </c>
      <c r="N457" s="13">
        <v>6.43</v>
      </c>
      <c r="O457" s="13">
        <v>850</v>
      </c>
      <c r="Q457" s="18">
        <v>43934</v>
      </c>
      <c r="R457" s="19">
        <v>0.26041666666666669</v>
      </c>
      <c r="S457" s="17" t="s">
        <v>10</v>
      </c>
      <c r="T457" s="17">
        <v>1.1599999999999999</v>
      </c>
      <c r="U457" s="17">
        <v>140</v>
      </c>
    </row>
    <row r="458" spans="5:21" x14ac:dyDescent="0.25">
      <c r="E458" s="10">
        <v>43933</v>
      </c>
      <c r="F458" s="11">
        <v>0.44166666666666665</v>
      </c>
      <c r="G458" t="s">
        <v>26</v>
      </c>
      <c r="H458">
        <v>8.01</v>
      </c>
      <c r="I458">
        <v>300</v>
      </c>
      <c r="K458" s="14">
        <v>43841</v>
      </c>
      <c r="L458" s="15">
        <v>0.28888888888888892</v>
      </c>
      <c r="M458" s="13" t="s">
        <v>24</v>
      </c>
      <c r="N458" s="13">
        <v>8.2200000000000006</v>
      </c>
      <c r="O458" s="13">
        <v>150</v>
      </c>
      <c r="Q458" s="18">
        <v>44062</v>
      </c>
      <c r="R458" s="19">
        <v>0.51388888888888895</v>
      </c>
      <c r="S458" s="17" t="s">
        <v>19</v>
      </c>
      <c r="T458" s="17">
        <v>0.5</v>
      </c>
      <c r="U458" s="17">
        <v>160</v>
      </c>
    </row>
    <row r="459" spans="5:21" x14ac:dyDescent="0.25">
      <c r="E459" s="10">
        <v>43933</v>
      </c>
      <c r="F459" s="11">
        <v>0.46597222222222223</v>
      </c>
      <c r="G459" t="s">
        <v>26</v>
      </c>
      <c r="H459">
        <v>7.46</v>
      </c>
      <c r="I459">
        <v>700</v>
      </c>
      <c r="K459" s="14">
        <v>43841</v>
      </c>
      <c r="L459" s="15">
        <v>0.21111111111111111</v>
      </c>
      <c r="M459" s="13" t="s">
        <v>24</v>
      </c>
      <c r="N459" s="13">
        <v>7.25</v>
      </c>
      <c r="O459" s="13">
        <v>150</v>
      </c>
      <c r="Q459" s="18">
        <v>43999</v>
      </c>
      <c r="R459" s="19">
        <v>0.8208333333333333</v>
      </c>
      <c r="S459" s="17" t="s">
        <v>8</v>
      </c>
      <c r="T459" s="17">
        <v>0.92</v>
      </c>
      <c r="U459" s="17">
        <v>75</v>
      </c>
    </row>
    <row r="460" spans="5:21" x14ac:dyDescent="0.25">
      <c r="E460" s="10">
        <v>43933</v>
      </c>
      <c r="F460" s="11">
        <v>0.37291666666666662</v>
      </c>
      <c r="G460" t="s">
        <v>26</v>
      </c>
      <c r="H460">
        <v>6.65</v>
      </c>
      <c r="I460">
        <v>300</v>
      </c>
      <c r="K460" s="14">
        <v>43866</v>
      </c>
      <c r="L460" s="15">
        <v>0.73125000000000007</v>
      </c>
      <c r="M460" s="13" t="s">
        <v>24</v>
      </c>
      <c r="N460" s="13">
        <v>9.1300000000000008</v>
      </c>
      <c r="O460" s="13">
        <v>250</v>
      </c>
      <c r="Q460" s="18">
        <v>43967</v>
      </c>
      <c r="R460" s="19">
        <v>0.67013888888888884</v>
      </c>
      <c r="S460" s="17" t="s">
        <v>6</v>
      </c>
      <c r="T460" s="17">
        <v>0.19</v>
      </c>
      <c r="U460" s="17">
        <v>30</v>
      </c>
    </row>
    <row r="461" spans="5:21" x14ac:dyDescent="0.25">
      <c r="E461" s="10">
        <v>43933</v>
      </c>
      <c r="F461" s="11">
        <v>0.38194444444444442</v>
      </c>
      <c r="G461" t="s">
        <v>26</v>
      </c>
      <c r="H461">
        <v>6.13</v>
      </c>
      <c r="I461">
        <v>1000</v>
      </c>
      <c r="K461" s="14">
        <v>43866</v>
      </c>
      <c r="L461" s="15">
        <v>0.69861111111111107</v>
      </c>
      <c r="M461" s="13" t="s">
        <v>24</v>
      </c>
      <c r="N461" s="13">
        <v>1.66</v>
      </c>
      <c r="O461" s="13">
        <v>300</v>
      </c>
      <c r="Q461" s="18">
        <v>44046</v>
      </c>
      <c r="R461" s="19">
        <v>0.74652777777777779</v>
      </c>
      <c r="S461" s="17" t="s">
        <v>14</v>
      </c>
      <c r="T461" s="17">
        <v>8.3000000000000007</v>
      </c>
      <c r="U461" s="17">
        <v>80</v>
      </c>
    </row>
    <row r="462" spans="5:21" x14ac:dyDescent="0.25">
      <c r="E462" s="10">
        <v>43933</v>
      </c>
      <c r="F462" s="11">
        <v>0.46597222222222223</v>
      </c>
      <c r="G462" t="s">
        <v>26</v>
      </c>
      <c r="H462">
        <v>4.6500000000000004</v>
      </c>
      <c r="I462">
        <v>150</v>
      </c>
      <c r="K462" s="14">
        <v>43866</v>
      </c>
      <c r="L462" s="15">
        <v>0.64444444444444449</v>
      </c>
      <c r="M462" s="13" t="s">
        <v>24</v>
      </c>
      <c r="N462" s="13">
        <v>8.1199999999999992</v>
      </c>
      <c r="O462" s="13">
        <v>800</v>
      </c>
      <c r="Q462" s="18">
        <v>43867</v>
      </c>
      <c r="R462" s="19">
        <v>0.38958333333333334</v>
      </c>
      <c r="S462" s="17" t="s">
        <v>10</v>
      </c>
      <c r="T462" s="17">
        <v>10.14</v>
      </c>
      <c r="U462" s="17">
        <v>100</v>
      </c>
    </row>
    <row r="463" spans="5:21" x14ac:dyDescent="0.25">
      <c r="E463" s="10">
        <v>43933</v>
      </c>
      <c r="F463" s="11">
        <v>0.4597222222222222</v>
      </c>
      <c r="G463" t="s">
        <v>26</v>
      </c>
      <c r="H463">
        <v>3.03</v>
      </c>
      <c r="I463">
        <v>200</v>
      </c>
      <c r="K463" s="14">
        <v>43866</v>
      </c>
      <c r="L463" s="15">
        <v>0.63888888888888895</v>
      </c>
      <c r="M463" s="13" t="s">
        <v>24</v>
      </c>
      <c r="N463" s="13">
        <v>2.64</v>
      </c>
      <c r="O463" s="13">
        <v>440</v>
      </c>
      <c r="Q463" s="18">
        <v>44189</v>
      </c>
      <c r="R463" s="19">
        <v>4.6527777777777779E-2</v>
      </c>
      <c r="S463" s="17" t="s">
        <v>24</v>
      </c>
      <c r="T463" s="17">
        <v>3.37</v>
      </c>
      <c r="U463" s="17">
        <v>50</v>
      </c>
    </row>
    <row r="464" spans="5:21" x14ac:dyDescent="0.25">
      <c r="E464" s="10">
        <v>43933</v>
      </c>
      <c r="F464" s="11">
        <v>0.44375000000000003</v>
      </c>
      <c r="G464" t="s">
        <v>26</v>
      </c>
      <c r="H464">
        <v>2.6</v>
      </c>
      <c r="I464">
        <v>400</v>
      </c>
      <c r="K464" s="14">
        <v>43866</v>
      </c>
      <c r="L464" s="15">
        <v>0.6645833333333333</v>
      </c>
      <c r="M464" s="13" t="s">
        <v>24</v>
      </c>
      <c r="N464" s="13">
        <v>18.73</v>
      </c>
      <c r="O464" s="13">
        <v>900</v>
      </c>
      <c r="Q464" s="18">
        <v>43990</v>
      </c>
      <c r="R464" s="19">
        <v>0.80555555555555547</v>
      </c>
      <c r="S464" s="17" t="s">
        <v>28</v>
      </c>
      <c r="T464" s="17">
        <v>0.01</v>
      </c>
      <c r="U464" s="17">
        <v>10</v>
      </c>
    </row>
    <row r="465" spans="5:21" x14ac:dyDescent="0.25">
      <c r="E465" s="10">
        <v>43933</v>
      </c>
      <c r="F465" s="11">
        <v>0.39583333333333331</v>
      </c>
      <c r="G465" t="s">
        <v>26</v>
      </c>
      <c r="H465">
        <v>1.62</v>
      </c>
      <c r="I465">
        <v>400</v>
      </c>
      <c r="K465" s="14">
        <v>43866</v>
      </c>
      <c r="L465" s="15">
        <v>0.62291666666666667</v>
      </c>
      <c r="M465" s="13" t="s">
        <v>24</v>
      </c>
      <c r="N465" s="13">
        <v>6.17</v>
      </c>
      <c r="O465" s="13">
        <v>150</v>
      </c>
      <c r="Q465" s="18">
        <v>44090</v>
      </c>
      <c r="R465" s="19">
        <v>0.62916666666666665</v>
      </c>
      <c r="S465" s="17" t="s">
        <v>9</v>
      </c>
      <c r="T465" s="17">
        <v>2.2999999999999998</v>
      </c>
      <c r="U465" s="17">
        <v>50</v>
      </c>
    </row>
    <row r="466" spans="5:21" x14ac:dyDescent="0.25">
      <c r="E466" s="10">
        <v>43933</v>
      </c>
      <c r="F466" s="11">
        <v>0.48680555555555555</v>
      </c>
      <c r="G466" t="s">
        <v>26</v>
      </c>
      <c r="H466">
        <v>1.1599999999999999</v>
      </c>
      <c r="I466">
        <v>170</v>
      </c>
      <c r="K466" s="14">
        <v>43866</v>
      </c>
      <c r="L466" s="15">
        <v>0.95208333333333339</v>
      </c>
      <c r="M466" s="13" t="s">
        <v>24</v>
      </c>
      <c r="N466" s="13">
        <v>59.85</v>
      </c>
      <c r="O466" s="13">
        <v>1320</v>
      </c>
      <c r="Q466" s="18">
        <v>44071</v>
      </c>
      <c r="R466" s="19">
        <v>1.8749999999999999E-2</v>
      </c>
      <c r="S466" s="17" t="s">
        <v>16</v>
      </c>
      <c r="T466" s="17">
        <v>0.61</v>
      </c>
      <c r="U466" s="17">
        <v>25</v>
      </c>
    </row>
    <row r="467" spans="5:21" x14ac:dyDescent="0.25">
      <c r="E467" s="10">
        <v>43933</v>
      </c>
      <c r="F467" s="11">
        <v>0.44861111111111113</v>
      </c>
      <c r="G467" t="s">
        <v>26</v>
      </c>
      <c r="H467">
        <v>1.1399999999999999</v>
      </c>
      <c r="I467">
        <v>50</v>
      </c>
      <c r="K467" s="14">
        <v>43866</v>
      </c>
      <c r="L467" s="15">
        <v>0.70694444444444438</v>
      </c>
      <c r="M467" s="13" t="s">
        <v>24</v>
      </c>
      <c r="N467" s="13">
        <v>5.84</v>
      </c>
      <c r="O467" s="13">
        <v>800</v>
      </c>
      <c r="Q467" s="18">
        <v>43933</v>
      </c>
      <c r="R467" s="19">
        <v>0.63750000000000007</v>
      </c>
      <c r="S467" s="17" t="s">
        <v>20</v>
      </c>
      <c r="T467" s="17">
        <v>5.45</v>
      </c>
      <c r="U467" s="17">
        <v>300</v>
      </c>
    </row>
    <row r="468" spans="5:21" x14ac:dyDescent="0.25">
      <c r="E468" s="10">
        <v>43933</v>
      </c>
      <c r="F468" s="11">
        <v>0.40208333333333335</v>
      </c>
      <c r="G468" t="s">
        <v>26</v>
      </c>
      <c r="H468">
        <v>0.77</v>
      </c>
      <c r="I468">
        <v>75</v>
      </c>
      <c r="K468" s="14">
        <v>43866</v>
      </c>
      <c r="L468" s="15">
        <v>0.74305555555555547</v>
      </c>
      <c r="M468" s="13" t="s">
        <v>24</v>
      </c>
      <c r="N468" s="13">
        <v>4.91</v>
      </c>
      <c r="O468" s="13">
        <v>150</v>
      </c>
      <c r="Q468" s="18">
        <v>43918</v>
      </c>
      <c r="R468" s="19">
        <v>0.77986111111111101</v>
      </c>
      <c r="S468" s="17" t="s">
        <v>15</v>
      </c>
      <c r="T468" s="17">
        <v>1.07</v>
      </c>
      <c r="U468" s="17">
        <v>10</v>
      </c>
    </row>
    <row r="469" spans="5:21" x14ac:dyDescent="0.25">
      <c r="E469" s="10">
        <v>43933</v>
      </c>
      <c r="F469" s="11">
        <v>0.36944444444444446</v>
      </c>
      <c r="G469" t="s">
        <v>26</v>
      </c>
      <c r="H469">
        <v>0.43</v>
      </c>
      <c r="I469">
        <v>125</v>
      </c>
      <c r="K469" s="14">
        <v>43871</v>
      </c>
      <c r="L469" s="15">
        <v>0.86875000000000002</v>
      </c>
      <c r="M469" s="13" t="s">
        <v>24</v>
      </c>
      <c r="N469" s="13">
        <v>2.86</v>
      </c>
      <c r="O469" s="13">
        <v>300</v>
      </c>
      <c r="Q469" s="18">
        <v>44070</v>
      </c>
      <c r="R469" s="19">
        <v>0.73958333333333337</v>
      </c>
      <c r="S469" s="17" t="s">
        <v>29</v>
      </c>
      <c r="T469" s="17">
        <v>1.26</v>
      </c>
      <c r="U469" s="17">
        <v>50</v>
      </c>
    </row>
    <row r="470" spans="5:21" x14ac:dyDescent="0.25">
      <c r="E470" s="10">
        <v>43940</v>
      </c>
      <c r="F470" s="11">
        <v>0.65972222222222221</v>
      </c>
      <c r="G470" t="s">
        <v>26</v>
      </c>
      <c r="H470">
        <v>5.34</v>
      </c>
      <c r="I470">
        <v>500</v>
      </c>
      <c r="K470" s="14">
        <v>43871</v>
      </c>
      <c r="L470" s="15">
        <v>0.75555555555555554</v>
      </c>
      <c r="M470" s="13" t="s">
        <v>24</v>
      </c>
      <c r="N470" s="13">
        <v>1.2</v>
      </c>
      <c r="O470" s="13">
        <v>200</v>
      </c>
      <c r="Q470" s="18">
        <v>44029</v>
      </c>
      <c r="R470" s="19">
        <v>0.66249999999999998</v>
      </c>
      <c r="S470" s="17" t="s">
        <v>8</v>
      </c>
      <c r="T470" s="17">
        <v>3.16</v>
      </c>
      <c r="U470" s="17">
        <v>150</v>
      </c>
    </row>
    <row r="471" spans="5:21" x14ac:dyDescent="0.25">
      <c r="E471" s="10">
        <v>43940</v>
      </c>
      <c r="F471" s="11">
        <v>0.88402777777777775</v>
      </c>
      <c r="G471" t="s">
        <v>26</v>
      </c>
      <c r="H471">
        <v>3.05</v>
      </c>
      <c r="I471">
        <v>300</v>
      </c>
      <c r="K471" s="14">
        <v>43894</v>
      </c>
      <c r="L471" s="15">
        <v>0.19375000000000001</v>
      </c>
      <c r="M471" s="13" t="s">
        <v>24</v>
      </c>
      <c r="N471" s="13">
        <v>9.31</v>
      </c>
      <c r="O471" s="13">
        <v>400</v>
      </c>
      <c r="Q471" s="18">
        <v>43990</v>
      </c>
      <c r="R471" s="19">
        <v>0.78194444444444444</v>
      </c>
      <c r="S471" s="17" t="s">
        <v>28</v>
      </c>
      <c r="T471" s="17">
        <v>0.01</v>
      </c>
      <c r="U471" s="17">
        <v>10</v>
      </c>
    </row>
    <row r="472" spans="5:21" x14ac:dyDescent="0.25">
      <c r="E472" s="10">
        <v>43940</v>
      </c>
      <c r="F472" s="11">
        <v>0.55347222222222225</v>
      </c>
      <c r="G472" t="s">
        <v>26</v>
      </c>
      <c r="H472">
        <v>2</v>
      </c>
      <c r="I472">
        <v>500</v>
      </c>
      <c r="K472" s="14">
        <v>43914</v>
      </c>
      <c r="L472" s="15">
        <v>0.68541666666666667</v>
      </c>
      <c r="M472" s="13" t="s">
        <v>24</v>
      </c>
      <c r="N472" s="13">
        <v>16.88</v>
      </c>
      <c r="O472" s="13">
        <v>400</v>
      </c>
      <c r="Q472" s="18">
        <v>44034</v>
      </c>
      <c r="R472" s="19">
        <v>0.5708333333333333</v>
      </c>
      <c r="S472" s="17" t="s">
        <v>6</v>
      </c>
      <c r="T472" s="17">
        <v>0.01</v>
      </c>
      <c r="U472" s="17">
        <v>10</v>
      </c>
    </row>
    <row r="473" spans="5:21" x14ac:dyDescent="0.25">
      <c r="E473" s="10">
        <v>43943</v>
      </c>
      <c r="F473" s="11">
        <v>0.78888888888888886</v>
      </c>
      <c r="G473" t="s">
        <v>26</v>
      </c>
      <c r="H473">
        <v>15.62</v>
      </c>
      <c r="I473">
        <v>500</v>
      </c>
      <c r="K473" s="14">
        <v>43914</v>
      </c>
      <c r="L473" s="15">
        <v>0.68541666666666667</v>
      </c>
      <c r="M473" s="13" t="s">
        <v>24</v>
      </c>
      <c r="N473" s="13">
        <v>8.7200000000000006</v>
      </c>
      <c r="O473" s="13">
        <v>400</v>
      </c>
      <c r="Q473" s="18">
        <v>44033</v>
      </c>
      <c r="R473" s="19">
        <v>0.62847222222222221</v>
      </c>
      <c r="S473" s="17" t="s">
        <v>15</v>
      </c>
      <c r="T473" s="17">
        <v>4.3600000000000003</v>
      </c>
      <c r="U473" s="17">
        <v>100</v>
      </c>
    </row>
    <row r="474" spans="5:21" x14ac:dyDescent="0.25">
      <c r="E474" s="10">
        <v>43943</v>
      </c>
      <c r="F474" s="11">
        <v>0.85138888888888886</v>
      </c>
      <c r="G474" t="s">
        <v>26</v>
      </c>
      <c r="H474">
        <v>8.98</v>
      </c>
      <c r="I474">
        <v>550</v>
      </c>
      <c r="K474" s="14">
        <v>43921</v>
      </c>
      <c r="L474" s="15">
        <v>0.35416666666666669</v>
      </c>
      <c r="M474" s="13" t="s">
        <v>24</v>
      </c>
      <c r="N474" s="13">
        <v>8.15</v>
      </c>
      <c r="O474" s="13">
        <v>50</v>
      </c>
      <c r="Q474" s="18">
        <v>43988</v>
      </c>
      <c r="R474" s="19">
        <v>0.68055555555555547</v>
      </c>
      <c r="S474" s="17" t="s">
        <v>19</v>
      </c>
      <c r="T474" s="17">
        <v>0.51</v>
      </c>
      <c r="U474" s="17">
        <v>75</v>
      </c>
    </row>
    <row r="475" spans="5:21" x14ac:dyDescent="0.25">
      <c r="E475" s="10">
        <v>43943</v>
      </c>
      <c r="F475" s="11">
        <v>0.83958333333333324</v>
      </c>
      <c r="G475" t="s">
        <v>26</v>
      </c>
      <c r="H475">
        <v>8.43</v>
      </c>
      <c r="I475">
        <v>500</v>
      </c>
      <c r="K475" s="14">
        <v>43933</v>
      </c>
      <c r="L475" s="15">
        <v>0.60416666666666663</v>
      </c>
      <c r="M475" s="13" t="s">
        <v>24</v>
      </c>
      <c r="N475" s="13">
        <v>8.49</v>
      </c>
      <c r="O475" s="13">
        <v>1100</v>
      </c>
      <c r="Q475" s="18">
        <v>43841</v>
      </c>
      <c r="R475" s="19">
        <v>0.23750000000000002</v>
      </c>
      <c r="S475" s="17" t="s">
        <v>11</v>
      </c>
      <c r="T475" s="17">
        <v>2.34</v>
      </c>
      <c r="U475" s="17">
        <v>25</v>
      </c>
    </row>
    <row r="476" spans="5:21" x14ac:dyDescent="0.25">
      <c r="E476" s="10">
        <v>43943</v>
      </c>
      <c r="F476" s="11">
        <v>0.87916666666666676</v>
      </c>
      <c r="G476" t="s">
        <v>26</v>
      </c>
      <c r="H476">
        <v>7.61</v>
      </c>
      <c r="I476">
        <v>1200</v>
      </c>
      <c r="K476" s="14">
        <v>43933</v>
      </c>
      <c r="L476" s="15">
        <v>0.6333333333333333</v>
      </c>
      <c r="M476" s="13" t="s">
        <v>24</v>
      </c>
      <c r="N476" s="13">
        <v>0</v>
      </c>
      <c r="O476" s="13">
        <v>0</v>
      </c>
      <c r="Q476" s="18">
        <v>43933</v>
      </c>
      <c r="R476" s="19">
        <v>0.86805555555555547</v>
      </c>
      <c r="S476" s="17" t="s">
        <v>20</v>
      </c>
      <c r="T476" s="17">
        <v>7.54</v>
      </c>
      <c r="U476" s="17">
        <v>350</v>
      </c>
    </row>
    <row r="477" spans="5:21" x14ac:dyDescent="0.25">
      <c r="E477" s="10">
        <v>43943</v>
      </c>
      <c r="F477" s="11">
        <v>0.86249999999999993</v>
      </c>
      <c r="G477" t="s">
        <v>26</v>
      </c>
      <c r="H477">
        <v>5.36</v>
      </c>
      <c r="I477">
        <v>200</v>
      </c>
      <c r="K477" s="14">
        <v>43933</v>
      </c>
      <c r="L477" s="15">
        <v>0.51527777777777783</v>
      </c>
      <c r="M477" s="13" t="s">
        <v>24</v>
      </c>
      <c r="N477" s="13">
        <v>7.38</v>
      </c>
      <c r="O477" s="13">
        <v>250</v>
      </c>
      <c r="Q477" s="18">
        <v>43841</v>
      </c>
      <c r="R477" s="19">
        <v>0.19791666666666666</v>
      </c>
      <c r="S477" s="17" t="s">
        <v>24</v>
      </c>
      <c r="T477" s="17">
        <v>5.67</v>
      </c>
      <c r="U477" s="17">
        <v>150</v>
      </c>
    </row>
    <row r="478" spans="5:21" x14ac:dyDescent="0.25">
      <c r="E478" s="10">
        <v>43943</v>
      </c>
      <c r="F478" s="11">
        <v>0.88680555555555562</v>
      </c>
      <c r="G478" t="s">
        <v>26</v>
      </c>
      <c r="H478">
        <v>4.01</v>
      </c>
      <c r="I478">
        <v>880</v>
      </c>
      <c r="K478" s="14">
        <v>43933</v>
      </c>
      <c r="L478" s="15">
        <v>0.65</v>
      </c>
      <c r="M478" s="13" t="s">
        <v>24</v>
      </c>
      <c r="N478" s="13">
        <v>83.22</v>
      </c>
      <c r="O478" s="13">
        <v>2041</v>
      </c>
      <c r="Q478" s="18">
        <v>43933</v>
      </c>
      <c r="R478" s="19">
        <v>0.65</v>
      </c>
      <c r="S478" s="17" t="s">
        <v>24</v>
      </c>
      <c r="T478" s="17">
        <v>0</v>
      </c>
      <c r="U478" s="17">
        <v>0</v>
      </c>
    </row>
    <row r="479" spans="5:21" x14ac:dyDescent="0.25">
      <c r="E479" s="10">
        <v>43943</v>
      </c>
      <c r="F479" s="11">
        <v>0.8520833333333333</v>
      </c>
      <c r="G479" t="s">
        <v>26</v>
      </c>
      <c r="H479">
        <v>3.85</v>
      </c>
      <c r="I479">
        <v>500</v>
      </c>
      <c r="K479" s="14">
        <v>43933</v>
      </c>
      <c r="L479" s="15">
        <v>0.69930555555555562</v>
      </c>
      <c r="M479" s="13" t="s">
        <v>24</v>
      </c>
      <c r="N479" s="13">
        <v>2.88</v>
      </c>
      <c r="O479" s="13">
        <v>300</v>
      </c>
      <c r="Q479" s="18">
        <v>43971</v>
      </c>
      <c r="R479" s="19">
        <v>0.40763888888888888</v>
      </c>
      <c r="S479" s="17" t="s">
        <v>10</v>
      </c>
      <c r="T479" s="17">
        <v>0.77</v>
      </c>
      <c r="U479" s="17">
        <v>300</v>
      </c>
    </row>
    <row r="480" spans="5:21" x14ac:dyDescent="0.25">
      <c r="E480" s="10">
        <v>43943</v>
      </c>
      <c r="F480" s="11">
        <v>0.87916666666666676</v>
      </c>
      <c r="G480" t="s">
        <v>26</v>
      </c>
      <c r="H480">
        <v>0</v>
      </c>
      <c r="I480">
        <v>0</v>
      </c>
      <c r="K480" s="14">
        <v>43933</v>
      </c>
      <c r="L480" s="15">
        <v>0.65</v>
      </c>
      <c r="M480" s="13" t="s">
        <v>24</v>
      </c>
      <c r="N480" s="13">
        <v>0</v>
      </c>
      <c r="O480" s="13">
        <v>0</v>
      </c>
      <c r="Q480" s="18">
        <v>43892</v>
      </c>
      <c r="R480" s="19">
        <v>0.96180555555555547</v>
      </c>
      <c r="S480" s="17" t="s">
        <v>21</v>
      </c>
      <c r="T480" s="17">
        <v>18.72</v>
      </c>
      <c r="U480" s="17">
        <v>250</v>
      </c>
    </row>
    <row r="481" spans="5:21" x14ac:dyDescent="0.25">
      <c r="E481" s="10">
        <v>43944</v>
      </c>
      <c r="F481" s="11">
        <v>3.5416666666666666E-2</v>
      </c>
      <c r="G481" t="s">
        <v>26</v>
      </c>
      <c r="H481">
        <v>9.5299999999999994</v>
      </c>
      <c r="I481">
        <v>150</v>
      </c>
      <c r="K481" s="14">
        <v>43933</v>
      </c>
      <c r="L481" s="15">
        <v>0.61249999999999993</v>
      </c>
      <c r="M481" s="13" t="s">
        <v>24</v>
      </c>
      <c r="N481" s="13">
        <v>3.89</v>
      </c>
      <c r="O481" s="13">
        <v>375</v>
      </c>
      <c r="Q481" s="18">
        <v>44188</v>
      </c>
      <c r="R481" s="19">
        <v>0.97013888888888899</v>
      </c>
      <c r="S481" s="17" t="s">
        <v>24</v>
      </c>
      <c r="T481" s="17">
        <v>1.08</v>
      </c>
      <c r="U481" s="17">
        <v>150</v>
      </c>
    </row>
    <row r="482" spans="5:21" x14ac:dyDescent="0.25">
      <c r="E482" s="10">
        <v>43944</v>
      </c>
      <c r="F482" s="11">
        <v>5.5555555555555558E-3</v>
      </c>
      <c r="G482" t="s">
        <v>26</v>
      </c>
      <c r="H482">
        <v>3.62</v>
      </c>
      <c r="I482">
        <v>100</v>
      </c>
      <c r="K482" s="14">
        <v>43933</v>
      </c>
      <c r="L482" s="15">
        <v>0.71527777777777779</v>
      </c>
      <c r="M482" s="13" t="s">
        <v>24</v>
      </c>
      <c r="N482" s="13">
        <v>8.8699999999999992</v>
      </c>
      <c r="O482" s="13">
        <v>985</v>
      </c>
      <c r="Q482" s="18">
        <v>44188</v>
      </c>
      <c r="R482" s="19">
        <v>0.9868055555555556</v>
      </c>
      <c r="S482" s="17" t="s">
        <v>24</v>
      </c>
      <c r="T482" s="17">
        <v>4.12</v>
      </c>
      <c r="U482" s="17">
        <v>150</v>
      </c>
    </row>
    <row r="483" spans="5:21" x14ac:dyDescent="0.25">
      <c r="E483" s="10">
        <v>43944</v>
      </c>
      <c r="F483" s="11">
        <v>1.3888888888888888E-2</v>
      </c>
      <c r="G483" t="s">
        <v>26</v>
      </c>
      <c r="H483">
        <v>1.1299999999999999</v>
      </c>
      <c r="I483">
        <v>100</v>
      </c>
      <c r="K483" s="14">
        <v>43933</v>
      </c>
      <c r="L483" s="15">
        <v>0.61041666666666672</v>
      </c>
      <c r="M483" s="13" t="s">
        <v>24</v>
      </c>
      <c r="N483" s="13">
        <v>21.17</v>
      </c>
      <c r="O483" s="13">
        <v>1936</v>
      </c>
      <c r="Q483" s="18">
        <v>43903</v>
      </c>
      <c r="R483" s="19">
        <v>0.78680555555555554</v>
      </c>
      <c r="S483" s="17" t="s">
        <v>6</v>
      </c>
      <c r="T483" s="17">
        <v>8.9700000000000006</v>
      </c>
      <c r="U483" s="17">
        <v>300</v>
      </c>
    </row>
    <row r="484" spans="5:21" x14ac:dyDescent="0.25">
      <c r="E484" s="10">
        <v>43956</v>
      </c>
      <c r="F484" s="11">
        <v>0.86458333333333337</v>
      </c>
      <c r="G484" t="s">
        <v>26</v>
      </c>
      <c r="H484">
        <v>13.56</v>
      </c>
      <c r="I484">
        <v>75</v>
      </c>
      <c r="K484" s="14">
        <v>43933</v>
      </c>
      <c r="L484" s="15">
        <v>0.68194444444444446</v>
      </c>
      <c r="M484" s="13" t="s">
        <v>24</v>
      </c>
      <c r="N484" s="13">
        <v>14.29</v>
      </c>
      <c r="O484" s="13">
        <v>300</v>
      </c>
      <c r="Q484" s="18">
        <v>43984</v>
      </c>
      <c r="R484" s="19">
        <v>0.55069444444444449</v>
      </c>
      <c r="S484" s="17" t="s">
        <v>7</v>
      </c>
      <c r="T484" s="17">
        <v>0.54</v>
      </c>
      <c r="U484" s="17">
        <v>30</v>
      </c>
    </row>
    <row r="485" spans="5:21" x14ac:dyDescent="0.25">
      <c r="E485" s="10">
        <v>43959</v>
      </c>
      <c r="F485" s="11">
        <v>0.56597222222222221</v>
      </c>
      <c r="G485" t="s">
        <v>26</v>
      </c>
      <c r="H485">
        <v>0.63</v>
      </c>
      <c r="I485">
        <v>100</v>
      </c>
      <c r="K485" s="14">
        <v>43933</v>
      </c>
      <c r="L485" s="15">
        <v>0.57430555555555551</v>
      </c>
      <c r="M485" s="13" t="s">
        <v>24</v>
      </c>
      <c r="N485" s="13">
        <v>3.04</v>
      </c>
      <c r="O485" s="13">
        <v>150</v>
      </c>
      <c r="Q485" s="18">
        <v>44057</v>
      </c>
      <c r="R485" s="19">
        <v>0.71458333333333324</v>
      </c>
      <c r="S485" s="17" t="s">
        <v>8</v>
      </c>
      <c r="T485" s="17">
        <v>2.94</v>
      </c>
      <c r="U485" s="17">
        <v>150</v>
      </c>
    </row>
    <row r="486" spans="5:21" x14ac:dyDescent="0.25">
      <c r="E486" s="10">
        <v>43968</v>
      </c>
      <c r="F486" s="11">
        <v>0.69513888888888886</v>
      </c>
      <c r="G486" t="s">
        <v>26</v>
      </c>
      <c r="H486">
        <v>4.34</v>
      </c>
      <c r="I486">
        <v>25</v>
      </c>
      <c r="K486" s="14">
        <v>43933</v>
      </c>
      <c r="L486" s="15">
        <v>0.5</v>
      </c>
      <c r="M486" s="13" t="s">
        <v>24</v>
      </c>
      <c r="N486" s="13">
        <v>6.02</v>
      </c>
      <c r="O486" s="13">
        <v>200</v>
      </c>
      <c r="Q486" s="18">
        <v>43921</v>
      </c>
      <c r="R486" s="19">
        <v>0.41041666666666665</v>
      </c>
      <c r="S486" s="17" t="s">
        <v>20</v>
      </c>
      <c r="T486" s="17">
        <v>0.83</v>
      </c>
      <c r="U486" s="17">
        <v>180</v>
      </c>
    </row>
    <row r="487" spans="5:21" x14ac:dyDescent="0.25">
      <c r="E487" s="10">
        <v>43968</v>
      </c>
      <c r="F487" s="11">
        <v>0.81319444444444444</v>
      </c>
      <c r="G487" t="s">
        <v>26</v>
      </c>
      <c r="H487">
        <v>3.93</v>
      </c>
      <c r="I487">
        <v>100</v>
      </c>
      <c r="K487" s="14">
        <v>43933</v>
      </c>
      <c r="L487" s="15">
        <v>0.53194444444444444</v>
      </c>
      <c r="M487" s="13" t="s">
        <v>24</v>
      </c>
      <c r="N487" s="13">
        <v>2.33</v>
      </c>
      <c r="O487" s="13">
        <v>50</v>
      </c>
      <c r="Q487" s="18">
        <v>44049</v>
      </c>
      <c r="R487" s="19">
        <v>0.61805555555555558</v>
      </c>
      <c r="S487" s="17" t="s">
        <v>35</v>
      </c>
      <c r="T487" s="17">
        <v>0.16</v>
      </c>
      <c r="U487" s="17">
        <v>75</v>
      </c>
    </row>
    <row r="488" spans="5:21" x14ac:dyDescent="0.25">
      <c r="E488" s="10">
        <v>43968</v>
      </c>
      <c r="F488" s="11">
        <v>0.7090277777777777</v>
      </c>
      <c r="G488" t="s">
        <v>26</v>
      </c>
      <c r="H488">
        <v>1.03</v>
      </c>
      <c r="I488">
        <v>10</v>
      </c>
      <c r="K488" s="14">
        <v>43933</v>
      </c>
      <c r="L488" s="15">
        <v>0.54583333333333328</v>
      </c>
      <c r="M488" s="13" t="s">
        <v>24</v>
      </c>
      <c r="N488" s="13">
        <v>2.46</v>
      </c>
      <c r="O488" s="13">
        <v>500</v>
      </c>
      <c r="Q488" s="18">
        <v>43934</v>
      </c>
      <c r="R488" s="19">
        <v>0.25763888888888892</v>
      </c>
      <c r="S488" s="17" t="s">
        <v>9</v>
      </c>
      <c r="T488" s="17">
        <v>8.89</v>
      </c>
      <c r="U488" s="17">
        <v>250</v>
      </c>
    </row>
    <row r="489" spans="5:21" x14ac:dyDescent="0.25">
      <c r="E489" s="10">
        <v>43968</v>
      </c>
      <c r="F489" s="11">
        <v>0.79166666666666663</v>
      </c>
      <c r="G489" t="s">
        <v>26</v>
      </c>
      <c r="H489">
        <v>0.2</v>
      </c>
      <c r="I489">
        <v>10</v>
      </c>
      <c r="K489" s="14">
        <v>43933</v>
      </c>
      <c r="L489" s="15">
        <v>0.51180555555555551</v>
      </c>
      <c r="M489" s="13" t="s">
        <v>24</v>
      </c>
      <c r="N489" s="13">
        <v>4.09</v>
      </c>
      <c r="O489" s="13">
        <v>440</v>
      </c>
      <c r="Q489" s="18">
        <v>43944</v>
      </c>
      <c r="R489" s="19">
        <v>0.22430555555555556</v>
      </c>
      <c r="S489" s="17" t="s">
        <v>24</v>
      </c>
      <c r="T489" s="17">
        <v>0.38</v>
      </c>
      <c r="U489" s="17">
        <v>50</v>
      </c>
    </row>
    <row r="490" spans="5:21" x14ac:dyDescent="0.25">
      <c r="E490" s="10">
        <v>43968</v>
      </c>
      <c r="F490" s="11">
        <v>0.73611111111111116</v>
      </c>
      <c r="G490" t="s">
        <v>26</v>
      </c>
      <c r="H490">
        <v>0.1</v>
      </c>
      <c r="I490">
        <v>10</v>
      </c>
      <c r="K490" s="14">
        <v>43933</v>
      </c>
      <c r="L490" s="15">
        <v>0.6333333333333333</v>
      </c>
      <c r="M490" s="13" t="s">
        <v>24</v>
      </c>
      <c r="N490" s="13">
        <v>67.430000000000007</v>
      </c>
      <c r="O490" s="13">
        <v>3960</v>
      </c>
      <c r="Q490" s="18">
        <v>44059</v>
      </c>
      <c r="R490" s="19">
        <v>0.57361111111111118</v>
      </c>
      <c r="S490" s="17" t="s">
        <v>6</v>
      </c>
      <c r="T490" s="17">
        <v>1.83</v>
      </c>
      <c r="U490" s="17">
        <v>200</v>
      </c>
    </row>
    <row r="491" spans="5:21" x14ac:dyDescent="0.25">
      <c r="E491" s="10">
        <v>43976</v>
      </c>
      <c r="F491" s="11">
        <v>0.71666666666666667</v>
      </c>
      <c r="G491" t="s">
        <v>26</v>
      </c>
      <c r="H491">
        <v>2.2799999999999998</v>
      </c>
      <c r="I491">
        <v>40</v>
      </c>
      <c r="K491" s="14">
        <v>43940</v>
      </c>
      <c r="L491" s="15">
        <v>0.75624999999999998</v>
      </c>
      <c r="M491" s="13" t="s">
        <v>24</v>
      </c>
      <c r="N491" s="13">
        <v>53.76</v>
      </c>
      <c r="O491" s="13">
        <v>2275</v>
      </c>
      <c r="Q491" s="18">
        <v>43988</v>
      </c>
      <c r="R491" s="19">
        <v>0.61875000000000002</v>
      </c>
      <c r="S491" s="17" t="s">
        <v>39</v>
      </c>
      <c r="T491" s="17">
        <v>1.21</v>
      </c>
      <c r="U491" s="17">
        <v>600</v>
      </c>
    </row>
    <row r="492" spans="5:21" x14ac:dyDescent="0.25">
      <c r="E492" s="10">
        <v>44006</v>
      </c>
      <c r="F492" s="11">
        <v>0.20138888888888887</v>
      </c>
      <c r="G492" t="s">
        <v>26</v>
      </c>
      <c r="H492">
        <v>3.54</v>
      </c>
      <c r="I492">
        <v>100</v>
      </c>
      <c r="K492" s="14">
        <v>43940</v>
      </c>
      <c r="L492" s="15">
        <v>0.75624999999999998</v>
      </c>
      <c r="M492" s="13" t="s">
        <v>24</v>
      </c>
      <c r="N492" s="13">
        <v>0</v>
      </c>
      <c r="O492" s="13">
        <v>0</v>
      </c>
      <c r="Q492" s="18">
        <v>44075</v>
      </c>
      <c r="R492" s="19">
        <v>0.55069444444444449</v>
      </c>
      <c r="S492" s="17" t="s">
        <v>29</v>
      </c>
      <c r="T492" s="17">
        <v>3.2</v>
      </c>
      <c r="U492" s="17">
        <v>50</v>
      </c>
    </row>
    <row r="493" spans="5:21" x14ac:dyDescent="0.25">
      <c r="E493" s="10">
        <v>44006</v>
      </c>
      <c r="F493" s="11">
        <v>0.5625</v>
      </c>
      <c r="G493" t="s">
        <v>26</v>
      </c>
      <c r="H493">
        <v>0.7</v>
      </c>
      <c r="I493">
        <v>75</v>
      </c>
      <c r="K493" s="14">
        <v>43940</v>
      </c>
      <c r="L493" s="15">
        <v>0.86875000000000002</v>
      </c>
      <c r="M493" s="13" t="s">
        <v>24</v>
      </c>
      <c r="N493" s="13">
        <v>3.12</v>
      </c>
      <c r="O493" s="13">
        <v>200</v>
      </c>
      <c r="Q493" s="18">
        <v>43841</v>
      </c>
      <c r="R493" s="19">
        <v>0.81944444444444453</v>
      </c>
      <c r="S493" s="17" t="s">
        <v>10</v>
      </c>
      <c r="T493" s="17">
        <v>0.66</v>
      </c>
      <c r="U493" s="17">
        <v>160</v>
      </c>
    </row>
    <row r="494" spans="5:21" x14ac:dyDescent="0.25">
      <c r="E494" s="10">
        <v>44006</v>
      </c>
      <c r="F494" s="11">
        <v>0.22569444444444445</v>
      </c>
      <c r="G494" t="s">
        <v>26</v>
      </c>
      <c r="H494">
        <v>0.33</v>
      </c>
      <c r="I494">
        <v>125</v>
      </c>
      <c r="K494" s="14">
        <v>43944</v>
      </c>
      <c r="L494" s="15">
        <v>0.22500000000000001</v>
      </c>
      <c r="M494" s="13" t="s">
        <v>24</v>
      </c>
      <c r="N494" s="13">
        <v>1.45</v>
      </c>
      <c r="O494" s="13">
        <v>250</v>
      </c>
      <c r="Q494" s="18">
        <v>43968</v>
      </c>
      <c r="R494" s="19">
        <v>0.69513888888888886</v>
      </c>
      <c r="S494" s="17" t="s">
        <v>26</v>
      </c>
      <c r="T494" s="17">
        <v>4.34</v>
      </c>
      <c r="U494" s="17">
        <v>25</v>
      </c>
    </row>
    <row r="495" spans="5:21" x14ac:dyDescent="0.25">
      <c r="E495" s="10">
        <v>44069</v>
      </c>
      <c r="F495" s="11">
        <v>0.53819444444444442</v>
      </c>
      <c r="G495" t="s">
        <v>26</v>
      </c>
      <c r="H495">
        <v>0.05</v>
      </c>
      <c r="I495">
        <v>10</v>
      </c>
      <c r="K495" s="14">
        <v>43944</v>
      </c>
      <c r="L495" s="15">
        <v>0.13472222222222222</v>
      </c>
      <c r="M495" s="13" t="s">
        <v>24</v>
      </c>
      <c r="N495" s="13">
        <v>16.850000000000001</v>
      </c>
      <c r="O495" s="13">
        <v>2640</v>
      </c>
      <c r="Q495" s="18">
        <v>43940</v>
      </c>
      <c r="R495" s="19">
        <v>0.75624999999999998</v>
      </c>
      <c r="S495" s="17" t="s">
        <v>24</v>
      </c>
      <c r="T495" s="17">
        <v>0</v>
      </c>
      <c r="U495" s="17">
        <v>0</v>
      </c>
    </row>
    <row r="496" spans="5:21" x14ac:dyDescent="0.25">
      <c r="E496" s="10">
        <v>44178</v>
      </c>
      <c r="F496" s="11">
        <v>0.77430555555555547</v>
      </c>
      <c r="G496" t="s">
        <v>26</v>
      </c>
      <c r="H496">
        <v>1.07</v>
      </c>
      <c r="I496">
        <v>106</v>
      </c>
      <c r="K496" s="14">
        <v>43944</v>
      </c>
      <c r="L496" s="15">
        <v>3.9583333333333331E-2</v>
      </c>
      <c r="M496" s="13" t="s">
        <v>24</v>
      </c>
      <c r="N496" s="13">
        <v>11.43</v>
      </c>
      <c r="O496" s="13">
        <v>1230</v>
      </c>
      <c r="Q496" s="18">
        <v>44004</v>
      </c>
      <c r="R496" s="19">
        <v>0.8125</v>
      </c>
      <c r="S496" s="17" t="s">
        <v>6</v>
      </c>
      <c r="T496" s="17">
        <v>1.29</v>
      </c>
      <c r="U496" s="17">
        <v>25</v>
      </c>
    </row>
    <row r="497" spans="5:21" x14ac:dyDescent="0.25">
      <c r="E497" s="10">
        <v>44045</v>
      </c>
      <c r="F497" s="11">
        <v>0.70694444444444438</v>
      </c>
      <c r="G497" t="s">
        <v>45</v>
      </c>
      <c r="H497">
        <v>8.39</v>
      </c>
      <c r="I497">
        <v>100</v>
      </c>
      <c r="K497" s="14">
        <v>43944</v>
      </c>
      <c r="L497" s="15">
        <v>0.22013888888888888</v>
      </c>
      <c r="M497" s="13" t="s">
        <v>24</v>
      </c>
      <c r="N497" s="13">
        <v>2.2599999999999998</v>
      </c>
      <c r="O497" s="13">
        <v>200</v>
      </c>
      <c r="Q497" s="18">
        <v>43929</v>
      </c>
      <c r="R497" s="19">
        <v>0.78263888888888899</v>
      </c>
      <c r="S497" s="17" t="s">
        <v>29</v>
      </c>
      <c r="T497" s="17">
        <v>0.89</v>
      </c>
      <c r="U497" s="17">
        <v>30</v>
      </c>
    </row>
    <row r="498" spans="5:21" x14ac:dyDescent="0.25">
      <c r="E498" s="10">
        <v>44111</v>
      </c>
      <c r="F498" s="11">
        <v>0.65972222222222221</v>
      </c>
      <c r="G498" t="s">
        <v>45</v>
      </c>
      <c r="H498">
        <v>0.53</v>
      </c>
      <c r="I498">
        <v>50</v>
      </c>
      <c r="K498" s="14">
        <v>43944</v>
      </c>
      <c r="L498" s="15">
        <v>0.22430555555555556</v>
      </c>
      <c r="M498" s="13" t="s">
        <v>24</v>
      </c>
      <c r="N498" s="13">
        <v>0.38</v>
      </c>
      <c r="O498" s="13">
        <v>50</v>
      </c>
      <c r="Q498" s="18">
        <v>44037</v>
      </c>
      <c r="R498" s="19">
        <v>0.89583333333333337</v>
      </c>
      <c r="S498" s="17" t="s">
        <v>6</v>
      </c>
      <c r="T498" s="17">
        <v>0.6</v>
      </c>
      <c r="U498" s="17">
        <v>100</v>
      </c>
    </row>
    <row r="499" spans="5:21" x14ac:dyDescent="0.25">
      <c r="E499" s="10">
        <v>43868</v>
      </c>
      <c r="F499" s="11">
        <v>0.29375000000000001</v>
      </c>
      <c r="G499" t="s">
        <v>18</v>
      </c>
      <c r="H499">
        <v>10.31</v>
      </c>
      <c r="I499">
        <v>100</v>
      </c>
      <c r="K499" s="14">
        <v>43944</v>
      </c>
      <c r="L499" s="15">
        <v>0.12291666666666667</v>
      </c>
      <c r="M499" s="13" t="s">
        <v>24</v>
      </c>
      <c r="N499" s="13">
        <v>6.49</v>
      </c>
      <c r="O499" s="13">
        <v>200</v>
      </c>
      <c r="Q499" s="18">
        <v>43940</v>
      </c>
      <c r="R499" s="19">
        <v>0.55347222222222225</v>
      </c>
      <c r="S499" s="17" t="s">
        <v>26</v>
      </c>
      <c r="T499" s="17">
        <v>2</v>
      </c>
      <c r="U499" s="17">
        <v>500</v>
      </c>
    </row>
    <row r="500" spans="5:21" x14ac:dyDescent="0.25">
      <c r="E500" s="10">
        <v>43868</v>
      </c>
      <c r="F500" s="11">
        <v>0.28055555555555556</v>
      </c>
      <c r="G500" t="s">
        <v>18</v>
      </c>
      <c r="H500">
        <v>6.74</v>
      </c>
      <c r="I500">
        <v>150</v>
      </c>
      <c r="K500" s="14">
        <v>43944</v>
      </c>
      <c r="L500" s="15">
        <v>0.14791666666666667</v>
      </c>
      <c r="M500" s="13" t="s">
        <v>24</v>
      </c>
      <c r="N500" s="13">
        <v>1.8</v>
      </c>
      <c r="O500" s="13">
        <v>350</v>
      </c>
      <c r="Q500" s="18">
        <v>43867</v>
      </c>
      <c r="R500" s="19">
        <v>0.83680555555555547</v>
      </c>
      <c r="S500" s="17" t="s">
        <v>9</v>
      </c>
      <c r="T500" s="17">
        <v>0.18</v>
      </c>
      <c r="U500" s="17">
        <v>50</v>
      </c>
    </row>
    <row r="501" spans="5:21" x14ac:dyDescent="0.25">
      <c r="E501" s="10">
        <v>43868</v>
      </c>
      <c r="F501" s="11">
        <v>0.27638888888888885</v>
      </c>
      <c r="G501" t="s">
        <v>18</v>
      </c>
      <c r="H501">
        <v>2.08</v>
      </c>
      <c r="I501">
        <v>75</v>
      </c>
      <c r="K501" s="14">
        <v>43944</v>
      </c>
      <c r="L501" s="15">
        <v>8.819444444444445E-2</v>
      </c>
      <c r="M501" s="13" t="s">
        <v>24</v>
      </c>
      <c r="N501" s="13">
        <v>18.3</v>
      </c>
      <c r="O501" s="13">
        <v>1760</v>
      </c>
      <c r="Q501" s="18">
        <v>43841</v>
      </c>
      <c r="R501" s="19">
        <v>0.12152777777777778</v>
      </c>
      <c r="S501" s="17" t="s">
        <v>29</v>
      </c>
      <c r="T501" s="17">
        <v>10.31</v>
      </c>
      <c r="U501" s="17">
        <v>800</v>
      </c>
    </row>
    <row r="502" spans="5:21" x14ac:dyDescent="0.25">
      <c r="E502" s="10">
        <v>43868</v>
      </c>
      <c r="F502" s="11">
        <v>0.26944444444444443</v>
      </c>
      <c r="G502" t="s">
        <v>18</v>
      </c>
      <c r="H502">
        <v>1.1100000000000001</v>
      </c>
      <c r="I502">
        <v>150</v>
      </c>
      <c r="K502" s="14">
        <v>44006</v>
      </c>
      <c r="L502" s="15">
        <v>0.4861111111111111</v>
      </c>
      <c r="M502" s="13" t="s">
        <v>24</v>
      </c>
      <c r="N502" s="13">
        <v>0.39</v>
      </c>
      <c r="O502" s="13">
        <v>70</v>
      </c>
      <c r="Q502" s="18">
        <v>43934</v>
      </c>
      <c r="R502" s="19">
        <v>0.27499999999999997</v>
      </c>
      <c r="S502" s="17" t="s">
        <v>10</v>
      </c>
      <c r="T502" s="17">
        <v>4.5599999999999996</v>
      </c>
      <c r="U502" s="17">
        <v>50</v>
      </c>
    </row>
    <row r="503" spans="5:21" x14ac:dyDescent="0.25">
      <c r="E503" s="10">
        <v>43868</v>
      </c>
      <c r="F503" s="11">
        <v>0.36041666666666666</v>
      </c>
      <c r="G503" t="s">
        <v>18</v>
      </c>
      <c r="H503">
        <v>1.06</v>
      </c>
      <c r="I503">
        <v>200</v>
      </c>
      <c r="K503" s="14">
        <v>44006</v>
      </c>
      <c r="L503" s="15">
        <v>0.49861111111111112</v>
      </c>
      <c r="M503" s="13" t="s">
        <v>24</v>
      </c>
      <c r="N503" s="13">
        <v>0.19</v>
      </c>
      <c r="O503" s="13">
        <v>20</v>
      </c>
      <c r="Q503" s="18">
        <v>43929</v>
      </c>
      <c r="R503" s="19">
        <v>0.83263888888888893</v>
      </c>
      <c r="S503" s="17" t="s">
        <v>22</v>
      </c>
      <c r="T503" s="17">
        <v>2.4900000000000002</v>
      </c>
      <c r="U503" s="17">
        <v>450</v>
      </c>
    </row>
    <row r="504" spans="5:21" x14ac:dyDescent="0.25">
      <c r="E504" s="10">
        <v>43934</v>
      </c>
      <c r="F504" s="11">
        <v>0.56041666666666667</v>
      </c>
      <c r="G504" t="s">
        <v>18</v>
      </c>
      <c r="H504">
        <v>4.8499999999999996</v>
      </c>
      <c r="I504">
        <v>30</v>
      </c>
      <c r="K504" s="14">
        <v>44006</v>
      </c>
      <c r="L504" s="15">
        <v>0.48194444444444445</v>
      </c>
      <c r="M504" s="13" t="s">
        <v>24</v>
      </c>
      <c r="N504" s="13">
        <v>0.25</v>
      </c>
      <c r="O504" s="13">
        <v>50</v>
      </c>
      <c r="Q504" s="18">
        <v>43840</v>
      </c>
      <c r="R504" s="19">
        <v>0.6020833333333333</v>
      </c>
      <c r="S504" s="17" t="s">
        <v>17</v>
      </c>
      <c r="T504" s="17">
        <v>8.6999999999999993</v>
      </c>
      <c r="U504" s="17">
        <v>50</v>
      </c>
    </row>
    <row r="505" spans="5:21" x14ac:dyDescent="0.25">
      <c r="E505" s="10">
        <v>43934</v>
      </c>
      <c r="F505" s="11">
        <v>0.4909722222222222</v>
      </c>
      <c r="G505" t="s">
        <v>18</v>
      </c>
      <c r="H505">
        <v>0.38</v>
      </c>
      <c r="I505">
        <v>75</v>
      </c>
      <c r="K505" s="14">
        <v>44006</v>
      </c>
      <c r="L505" s="15">
        <v>0.27430555555555552</v>
      </c>
      <c r="M505" s="13" t="s">
        <v>24</v>
      </c>
      <c r="N505" s="13">
        <v>0.4</v>
      </c>
      <c r="O505" s="13">
        <v>50</v>
      </c>
      <c r="Q505" s="18">
        <v>43918</v>
      </c>
      <c r="R505" s="19">
        <v>0.8041666666666667</v>
      </c>
      <c r="S505" s="17" t="s">
        <v>11</v>
      </c>
      <c r="T505" s="17">
        <v>0.86</v>
      </c>
      <c r="U505" s="17">
        <v>100</v>
      </c>
    </row>
    <row r="506" spans="5:21" x14ac:dyDescent="0.25">
      <c r="E506" s="10">
        <v>44047</v>
      </c>
      <c r="F506" s="11">
        <v>0.24652777777777779</v>
      </c>
      <c r="G506" t="s">
        <v>18</v>
      </c>
      <c r="H506">
        <v>9.6300000000000008</v>
      </c>
      <c r="I506">
        <v>75</v>
      </c>
      <c r="K506" s="14">
        <v>44006</v>
      </c>
      <c r="L506" s="15">
        <v>0.2638888888888889</v>
      </c>
      <c r="M506" s="13" t="s">
        <v>24</v>
      </c>
      <c r="N506" s="13">
        <v>6.13</v>
      </c>
      <c r="O506" s="13">
        <v>150</v>
      </c>
      <c r="Q506" s="18">
        <v>43956</v>
      </c>
      <c r="R506" s="19">
        <v>0.86458333333333337</v>
      </c>
      <c r="S506" s="17" t="s">
        <v>26</v>
      </c>
      <c r="T506" s="17">
        <v>13.56</v>
      </c>
      <c r="U506" s="17">
        <v>75</v>
      </c>
    </row>
    <row r="507" spans="5:21" x14ac:dyDescent="0.25">
      <c r="E507" s="10">
        <v>44047</v>
      </c>
      <c r="F507" s="11">
        <v>0.23263888888888887</v>
      </c>
      <c r="G507" t="s">
        <v>18</v>
      </c>
      <c r="H507">
        <v>8</v>
      </c>
      <c r="I507">
        <v>75</v>
      </c>
      <c r="K507" s="14">
        <v>44006</v>
      </c>
      <c r="L507" s="15">
        <v>0.5131944444444444</v>
      </c>
      <c r="M507" s="13" t="s">
        <v>24</v>
      </c>
      <c r="N507" s="13">
        <v>0.98</v>
      </c>
      <c r="O507" s="13">
        <v>50</v>
      </c>
      <c r="Q507" s="18">
        <v>43934</v>
      </c>
      <c r="R507" s="19">
        <v>7.013888888888889E-2</v>
      </c>
      <c r="S507" s="17" t="s">
        <v>10</v>
      </c>
      <c r="T507" s="17">
        <v>7.97</v>
      </c>
      <c r="U507" s="17">
        <v>200</v>
      </c>
    </row>
    <row r="508" spans="5:21" x14ac:dyDescent="0.25">
      <c r="E508" s="10">
        <v>44047</v>
      </c>
      <c r="F508" s="11">
        <v>0.18888888888888888</v>
      </c>
      <c r="G508" t="s">
        <v>18</v>
      </c>
      <c r="H508">
        <v>5.24</v>
      </c>
      <c r="I508">
        <v>100</v>
      </c>
      <c r="K508" s="14">
        <v>44006</v>
      </c>
      <c r="L508" s="15">
        <v>0.5</v>
      </c>
      <c r="M508" s="13" t="s">
        <v>24</v>
      </c>
      <c r="N508" s="13">
        <v>1.27</v>
      </c>
      <c r="O508" s="13">
        <v>50</v>
      </c>
      <c r="Q508" s="18">
        <v>43972</v>
      </c>
      <c r="R508" s="19">
        <v>0.67847222222222225</v>
      </c>
      <c r="S508" s="17" t="s">
        <v>7</v>
      </c>
      <c r="T508" s="17">
        <v>1</v>
      </c>
      <c r="U508" s="17">
        <v>25</v>
      </c>
    </row>
    <row r="509" spans="5:21" x14ac:dyDescent="0.25">
      <c r="E509" s="10">
        <v>44047</v>
      </c>
      <c r="F509" s="11">
        <v>0.21805555555555556</v>
      </c>
      <c r="G509" t="s">
        <v>18</v>
      </c>
      <c r="H509">
        <v>3.8</v>
      </c>
      <c r="I509">
        <v>200</v>
      </c>
      <c r="K509" s="14">
        <v>44006</v>
      </c>
      <c r="L509" s="15">
        <v>0.4770833333333333</v>
      </c>
      <c r="M509" s="13" t="s">
        <v>24</v>
      </c>
      <c r="N509" s="13">
        <v>0.73</v>
      </c>
      <c r="O509" s="13">
        <v>40</v>
      </c>
      <c r="Q509" s="18">
        <v>44014</v>
      </c>
      <c r="R509" s="19">
        <v>0.59652777777777777</v>
      </c>
      <c r="S509" s="17" t="s">
        <v>7</v>
      </c>
      <c r="T509" s="17">
        <v>0.01</v>
      </c>
      <c r="U509" s="17">
        <v>50</v>
      </c>
    </row>
    <row r="510" spans="5:21" x14ac:dyDescent="0.25">
      <c r="E510" s="10">
        <v>44047</v>
      </c>
      <c r="F510" s="11">
        <v>0.23124999999999998</v>
      </c>
      <c r="G510" t="s">
        <v>18</v>
      </c>
      <c r="H510">
        <v>3.01</v>
      </c>
      <c r="I510">
        <v>100</v>
      </c>
      <c r="K510" s="14">
        <v>44006</v>
      </c>
      <c r="L510" s="15">
        <v>0.51527777777777783</v>
      </c>
      <c r="M510" s="13" t="s">
        <v>24</v>
      </c>
      <c r="N510" s="13">
        <v>0.89</v>
      </c>
      <c r="O510" s="13">
        <v>50</v>
      </c>
      <c r="Q510" s="18">
        <v>43971</v>
      </c>
      <c r="R510" s="19">
        <v>0.78125</v>
      </c>
      <c r="S510" s="17" t="s">
        <v>7</v>
      </c>
      <c r="T510" s="17">
        <v>4</v>
      </c>
      <c r="U510" s="17">
        <v>50</v>
      </c>
    </row>
    <row r="511" spans="5:21" x14ac:dyDescent="0.25">
      <c r="E511" s="10">
        <v>44047</v>
      </c>
      <c r="F511" s="11">
        <v>0.22361111111111109</v>
      </c>
      <c r="G511" t="s">
        <v>18</v>
      </c>
      <c r="H511">
        <v>2.7</v>
      </c>
      <c r="I511">
        <v>100</v>
      </c>
      <c r="K511" s="14">
        <v>44026</v>
      </c>
      <c r="L511" s="15">
        <v>0.6</v>
      </c>
      <c r="M511" s="13" t="s">
        <v>24</v>
      </c>
      <c r="N511" s="13">
        <v>1</v>
      </c>
      <c r="O511" s="13">
        <v>25</v>
      </c>
      <c r="Q511" s="18">
        <v>44053</v>
      </c>
      <c r="R511" s="19">
        <v>0.61041666666666672</v>
      </c>
      <c r="S511" s="17" t="s">
        <v>15</v>
      </c>
      <c r="T511" s="17">
        <v>2.15</v>
      </c>
      <c r="U511" s="17">
        <v>200</v>
      </c>
    </row>
    <row r="512" spans="5:21" x14ac:dyDescent="0.25">
      <c r="E512" s="10">
        <v>44047</v>
      </c>
      <c r="F512" s="11">
        <v>0.18541666666666667</v>
      </c>
      <c r="G512" t="s">
        <v>18</v>
      </c>
      <c r="H512">
        <v>1.47</v>
      </c>
      <c r="I512">
        <v>75</v>
      </c>
      <c r="K512" s="14">
        <v>44071</v>
      </c>
      <c r="L512" s="15">
        <v>0.23124999999999998</v>
      </c>
      <c r="M512" s="13" t="s">
        <v>24</v>
      </c>
      <c r="N512" s="13">
        <v>1.1000000000000001</v>
      </c>
      <c r="O512" s="13">
        <v>50</v>
      </c>
      <c r="Q512" s="18">
        <v>43921</v>
      </c>
      <c r="R512" s="19">
        <v>0.6430555555555556</v>
      </c>
      <c r="S512" s="17" t="s">
        <v>19</v>
      </c>
      <c r="T512" s="17">
        <v>0.8</v>
      </c>
      <c r="U512" s="17">
        <v>704</v>
      </c>
    </row>
    <row r="513" spans="5:21" x14ac:dyDescent="0.25">
      <c r="E513" s="10">
        <v>44047</v>
      </c>
      <c r="F513" s="11">
        <v>0.16319444444444445</v>
      </c>
      <c r="G513" t="s">
        <v>18</v>
      </c>
      <c r="H513">
        <v>1.3</v>
      </c>
      <c r="I513">
        <v>150</v>
      </c>
      <c r="K513" s="14">
        <v>44113</v>
      </c>
      <c r="L513" s="15">
        <v>0.64861111111111114</v>
      </c>
      <c r="M513" s="13" t="s">
        <v>24</v>
      </c>
      <c r="N513" s="13">
        <v>0.73</v>
      </c>
      <c r="O513" s="13">
        <v>100</v>
      </c>
      <c r="Q513" s="18">
        <v>43949</v>
      </c>
      <c r="R513" s="19">
        <v>0.88888888888888884</v>
      </c>
      <c r="S513" s="17" t="s">
        <v>33</v>
      </c>
      <c r="T513" s="17">
        <v>19.38</v>
      </c>
      <c r="U513" s="17">
        <v>350</v>
      </c>
    </row>
    <row r="514" spans="5:21" x14ac:dyDescent="0.25">
      <c r="E514" s="10">
        <v>44047</v>
      </c>
      <c r="F514" s="11">
        <v>0.20277777777777781</v>
      </c>
      <c r="G514" t="s">
        <v>18</v>
      </c>
      <c r="H514">
        <v>0.82</v>
      </c>
      <c r="I514">
        <v>175</v>
      </c>
      <c r="K514" s="14">
        <v>44132</v>
      </c>
      <c r="L514" s="15">
        <v>0.71458333333333324</v>
      </c>
      <c r="M514" s="13" t="s">
        <v>24</v>
      </c>
      <c r="N514" s="13">
        <v>5</v>
      </c>
      <c r="O514" s="13">
        <v>150</v>
      </c>
      <c r="Q514" s="18">
        <v>44189</v>
      </c>
      <c r="R514" s="19">
        <v>0.71944444444444444</v>
      </c>
      <c r="S514" s="17" t="s">
        <v>19</v>
      </c>
      <c r="T514" s="17">
        <v>4.12</v>
      </c>
      <c r="U514" s="17">
        <v>100</v>
      </c>
    </row>
    <row r="515" spans="5:21" x14ac:dyDescent="0.25">
      <c r="E515" s="10">
        <v>44047</v>
      </c>
      <c r="F515" s="11">
        <v>0.26250000000000001</v>
      </c>
      <c r="G515" t="s">
        <v>18</v>
      </c>
      <c r="H515">
        <v>0.74</v>
      </c>
      <c r="I515">
        <v>35</v>
      </c>
      <c r="K515" s="14">
        <v>44160</v>
      </c>
      <c r="L515" s="15">
        <v>0.30624999999999997</v>
      </c>
      <c r="M515" s="13" t="s">
        <v>24</v>
      </c>
      <c r="N515" s="13">
        <v>0.74</v>
      </c>
      <c r="O515" s="13">
        <v>175</v>
      </c>
      <c r="Q515" s="18">
        <v>44020</v>
      </c>
      <c r="R515" s="19">
        <v>0.73055555555555562</v>
      </c>
      <c r="S515" s="17" t="s">
        <v>8</v>
      </c>
      <c r="T515" s="17">
        <v>0.2</v>
      </c>
      <c r="U515" s="17">
        <v>20</v>
      </c>
    </row>
    <row r="516" spans="5:21" x14ac:dyDescent="0.25">
      <c r="E516" s="10">
        <v>44077</v>
      </c>
      <c r="F516" s="11">
        <v>0.6645833333333333</v>
      </c>
      <c r="G516" t="s">
        <v>18</v>
      </c>
      <c r="H516">
        <v>6.05</v>
      </c>
      <c r="I516">
        <v>100</v>
      </c>
      <c r="K516" s="14">
        <v>44162</v>
      </c>
      <c r="L516" s="15">
        <v>0.62291666666666667</v>
      </c>
      <c r="M516" s="13" t="s">
        <v>24</v>
      </c>
      <c r="N516" s="13">
        <v>2</v>
      </c>
      <c r="O516" s="13">
        <v>50</v>
      </c>
      <c r="Q516" s="18">
        <v>44006</v>
      </c>
      <c r="R516" s="19">
        <v>0.2638888888888889</v>
      </c>
      <c r="S516" s="17" t="s">
        <v>24</v>
      </c>
      <c r="T516" s="17">
        <v>6.13</v>
      </c>
      <c r="U516" s="17">
        <v>150</v>
      </c>
    </row>
    <row r="517" spans="5:21" x14ac:dyDescent="0.25">
      <c r="E517" s="10">
        <v>44165</v>
      </c>
      <c r="F517" s="11">
        <v>0.59236111111111112</v>
      </c>
      <c r="G517" t="s">
        <v>18</v>
      </c>
      <c r="H517">
        <v>5.32</v>
      </c>
      <c r="I517">
        <v>75</v>
      </c>
      <c r="K517" s="14">
        <v>44188</v>
      </c>
      <c r="L517" s="15">
        <v>0.99375000000000002</v>
      </c>
      <c r="M517" s="13" t="s">
        <v>24</v>
      </c>
      <c r="N517" s="13">
        <v>1.9</v>
      </c>
      <c r="O517" s="13">
        <v>880</v>
      </c>
      <c r="Q517" s="18">
        <v>44020</v>
      </c>
      <c r="R517" s="19">
        <v>0.1388888888888889</v>
      </c>
      <c r="S517" s="17" t="s">
        <v>8</v>
      </c>
      <c r="T517" s="17">
        <v>12.45</v>
      </c>
      <c r="U517" s="17">
        <v>200</v>
      </c>
    </row>
    <row r="518" spans="5:21" x14ac:dyDescent="0.25">
      <c r="E518" s="10">
        <v>44165</v>
      </c>
      <c r="F518" s="11">
        <v>0.56736111111111109</v>
      </c>
      <c r="G518" t="s">
        <v>18</v>
      </c>
      <c r="H518">
        <v>3.36</v>
      </c>
      <c r="I518">
        <v>75</v>
      </c>
      <c r="K518" s="14">
        <v>44188</v>
      </c>
      <c r="L518" s="15">
        <v>0.98333333333333339</v>
      </c>
      <c r="M518" s="13" t="s">
        <v>24</v>
      </c>
      <c r="N518" s="13">
        <v>3.44</v>
      </c>
      <c r="O518" s="13">
        <v>100</v>
      </c>
      <c r="Q518" s="18">
        <v>43841</v>
      </c>
      <c r="R518" s="19">
        <v>0.20347222222222219</v>
      </c>
      <c r="S518" s="17" t="s">
        <v>24</v>
      </c>
      <c r="T518" s="17">
        <v>8.2100000000000009</v>
      </c>
      <c r="U518" s="17">
        <v>300</v>
      </c>
    </row>
    <row r="519" spans="5:21" x14ac:dyDescent="0.25">
      <c r="E519" s="10">
        <v>44023</v>
      </c>
      <c r="F519" s="11">
        <v>0.56319444444444444</v>
      </c>
      <c r="G519" t="s">
        <v>43</v>
      </c>
      <c r="H519">
        <v>4.8600000000000003</v>
      </c>
      <c r="I519">
        <v>100</v>
      </c>
      <c r="K519" s="14">
        <v>44188</v>
      </c>
      <c r="L519" s="15">
        <v>0.97013888888888899</v>
      </c>
      <c r="M519" s="13" t="s">
        <v>24</v>
      </c>
      <c r="N519" s="13">
        <v>1.08</v>
      </c>
      <c r="O519" s="13">
        <v>150</v>
      </c>
      <c r="Q519" s="18">
        <v>43929</v>
      </c>
      <c r="R519" s="19">
        <v>0.93958333333333333</v>
      </c>
      <c r="S519" s="17" t="s">
        <v>27</v>
      </c>
      <c r="T519" s="17">
        <v>0.25</v>
      </c>
      <c r="U519" s="17">
        <v>125</v>
      </c>
    </row>
    <row r="520" spans="5:21" x14ac:dyDescent="0.25">
      <c r="E520" s="10">
        <v>44052</v>
      </c>
      <c r="F520" s="11">
        <v>0.87222222222222223</v>
      </c>
      <c r="G520" t="s">
        <v>13</v>
      </c>
      <c r="H520">
        <v>3.8</v>
      </c>
      <c r="I520">
        <v>250</v>
      </c>
      <c r="K520" s="14">
        <v>44188</v>
      </c>
      <c r="L520" s="15">
        <v>0.9868055555555556</v>
      </c>
      <c r="M520" s="13" t="s">
        <v>24</v>
      </c>
      <c r="N520" s="13">
        <v>4.12</v>
      </c>
      <c r="O520" s="13">
        <v>150</v>
      </c>
      <c r="Q520" s="18">
        <v>44114</v>
      </c>
      <c r="R520" s="19">
        <v>0.6069444444444444</v>
      </c>
      <c r="S520" s="17" t="s">
        <v>9</v>
      </c>
      <c r="T520" s="17">
        <v>1.44</v>
      </c>
      <c r="U520" s="17">
        <v>75</v>
      </c>
    </row>
    <row r="521" spans="5:21" x14ac:dyDescent="0.25">
      <c r="E521" s="10">
        <v>44052</v>
      </c>
      <c r="F521" s="11">
        <v>0.84722222222222221</v>
      </c>
      <c r="G521" t="s">
        <v>13</v>
      </c>
      <c r="H521">
        <v>1.03</v>
      </c>
      <c r="I521">
        <v>250</v>
      </c>
      <c r="K521" s="14">
        <v>44188</v>
      </c>
      <c r="L521" s="15">
        <v>0.94444444444444453</v>
      </c>
      <c r="M521" s="13" t="s">
        <v>24</v>
      </c>
      <c r="N521" s="13">
        <v>0.9</v>
      </c>
      <c r="O521" s="13">
        <v>50</v>
      </c>
      <c r="Q521" s="18">
        <v>44046</v>
      </c>
      <c r="R521" s="19">
        <v>0.95000000000000007</v>
      </c>
      <c r="S521" s="17" t="s">
        <v>14</v>
      </c>
      <c r="T521" s="17">
        <v>0.08</v>
      </c>
      <c r="U521" s="17">
        <v>50</v>
      </c>
    </row>
    <row r="522" spans="5:21" x14ac:dyDescent="0.25">
      <c r="E522" s="10">
        <v>44074</v>
      </c>
      <c r="F522" s="11">
        <v>0.64583333333333337</v>
      </c>
      <c r="G522" t="s">
        <v>13</v>
      </c>
      <c r="H522">
        <v>0.61</v>
      </c>
      <c r="I522">
        <v>200</v>
      </c>
      <c r="K522" s="14">
        <v>44188</v>
      </c>
      <c r="L522" s="15">
        <v>0.93472222222222223</v>
      </c>
      <c r="M522" s="13" t="s">
        <v>24</v>
      </c>
      <c r="N522" s="13">
        <v>0.72</v>
      </c>
      <c r="O522" s="13">
        <v>50</v>
      </c>
      <c r="Q522" s="18">
        <v>43929</v>
      </c>
      <c r="R522" s="19">
        <v>0.84861111111111109</v>
      </c>
      <c r="S522" s="17" t="s">
        <v>27</v>
      </c>
      <c r="T522" s="17">
        <v>6.2</v>
      </c>
      <c r="U522" s="17">
        <v>300</v>
      </c>
    </row>
    <row r="523" spans="5:21" x14ac:dyDescent="0.25">
      <c r="E523" s="10">
        <v>43977</v>
      </c>
      <c r="F523" s="11">
        <v>0.76736111111111116</v>
      </c>
      <c r="G523" t="s">
        <v>8</v>
      </c>
      <c r="H523">
        <v>0.55000000000000004</v>
      </c>
      <c r="I523">
        <v>50</v>
      </c>
      <c r="K523" s="14">
        <v>44188</v>
      </c>
      <c r="L523" s="15">
        <v>0.97499999999999998</v>
      </c>
      <c r="M523" s="13" t="s">
        <v>24</v>
      </c>
      <c r="N523" s="13">
        <v>5.0599999999999996</v>
      </c>
      <c r="O523" s="13">
        <v>250</v>
      </c>
      <c r="Q523" s="18">
        <v>43841</v>
      </c>
      <c r="R523" s="19">
        <v>2.7083333333333334E-2</v>
      </c>
      <c r="S523" s="17" t="s">
        <v>6</v>
      </c>
      <c r="T523" s="17">
        <v>6.07</v>
      </c>
      <c r="U523" s="17">
        <v>400</v>
      </c>
    </row>
    <row r="524" spans="5:21" x14ac:dyDescent="0.25">
      <c r="E524" s="10">
        <v>43977</v>
      </c>
      <c r="F524" s="11">
        <v>0.76041666666666663</v>
      </c>
      <c r="G524" t="s">
        <v>8</v>
      </c>
      <c r="H524">
        <v>0.26</v>
      </c>
      <c r="I524">
        <v>25</v>
      </c>
      <c r="K524" s="14">
        <v>44188</v>
      </c>
      <c r="L524" s="15">
        <v>0.97986111111111107</v>
      </c>
      <c r="M524" s="13" t="s">
        <v>24</v>
      </c>
      <c r="N524" s="13">
        <v>1.72</v>
      </c>
      <c r="O524" s="13">
        <v>200</v>
      </c>
      <c r="Q524" s="18">
        <v>43841</v>
      </c>
      <c r="R524" s="19">
        <v>0.19583333333333333</v>
      </c>
      <c r="S524" s="17" t="s">
        <v>24</v>
      </c>
      <c r="T524" s="17">
        <v>11.27</v>
      </c>
      <c r="U524" s="17">
        <v>200</v>
      </c>
    </row>
    <row r="525" spans="5:21" x14ac:dyDescent="0.25">
      <c r="E525" s="10">
        <v>43990</v>
      </c>
      <c r="F525" s="11">
        <v>0.76180555555555562</v>
      </c>
      <c r="G525" t="s">
        <v>8</v>
      </c>
      <c r="H525">
        <v>9</v>
      </c>
      <c r="I525">
        <v>300</v>
      </c>
      <c r="K525" s="14">
        <v>44189</v>
      </c>
      <c r="L525" s="15">
        <v>4.3055555555555562E-2</v>
      </c>
      <c r="M525" s="13" t="s">
        <v>24</v>
      </c>
      <c r="N525" s="13">
        <v>3.28</v>
      </c>
      <c r="O525" s="13">
        <v>100</v>
      </c>
      <c r="Q525" s="18">
        <v>43989</v>
      </c>
      <c r="R525" s="19">
        <v>0.72569444444444453</v>
      </c>
      <c r="S525" s="17" t="s">
        <v>16</v>
      </c>
      <c r="T525" s="17">
        <v>0.65</v>
      </c>
      <c r="U525" s="17">
        <v>150</v>
      </c>
    </row>
    <row r="526" spans="5:21" x14ac:dyDescent="0.25">
      <c r="E526" s="10">
        <v>43990</v>
      </c>
      <c r="F526" s="11">
        <v>0.82291666666666663</v>
      </c>
      <c r="G526" t="s">
        <v>8</v>
      </c>
      <c r="H526">
        <v>1.2</v>
      </c>
      <c r="I526">
        <v>100</v>
      </c>
      <c r="K526" s="14">
        <v>44189</v>
      </c>
      <c r="L526" s="15">
        <v>4.6527777777777779E-2</v>
      </c>
      <c r="M526" s="13" t="s">
        <v>24</v>
      </c>
      <c r="N526" s="13">
        <v>3.37</v>
      </c>
      <c r="O526" s="13">
        <v>50</v>
      </c>
      <c r="Q526" s="18">
        <v>43841</v>
      </c>
      <c r="R526" s="19">
        <v>0.55069444444444449</v>
      </c>
      <c r="S526" s="17" t="s">
        <v>20</v>
      </c>
      <c r="T526" s="17">
        <v>1.84</v>
      </c>
      <c r="U526" s="17">
        <v>60</v>
      </c>
    </row>
    <row r="527" spans="5:21" x14ac:dyDescent="0.25">
      <c r="E527" s="10">
        <v>43991</v>
      </c>
      <c r="F527" s="11">
        <v>0.69097222222222221</v>
      </c>
      <c r="G527" t="s">
        <v>8</v>
      </c>
      <c r="H527">
        <v>0.33</v>
      </c>
      <c r="I527">
        <v>25</v>
      </c>
      <c r="K527" s="14">
        <v>44189</v>
      </c>
      <c r="L527" s="15">
        <v>1.7361111111111112E-2</v>
      </c>
      <c r="M527" s="13" t="s">
        <v>24</v>
      </c>
      <c r="N527" s="13">
        <v>1.98</v>
      </c>
      <c r="O527" s="13">
        <v>400</v>
      </c>
      <c r="Q527" s="18">
        <v>44114</v>
      </c>
      <c r="R527" s="19">
        <v>0.68541666666666667</v>
      </c>
      <c r="S527" s="17" t="s">
        <v>9</v>
      </c>
      <c r="T527" s="17">
        <v>2.13</v>
      </c>
      <c r="U527" s="17">
        <v>200</v>
      </c>
    </row>
    <row r="528" spans="5:21" x14ac:dyDescent="0.25">
      <c r="E528" s="10">
        <v>43999</v>
      </c>
      <c r="F528" s="11">
        <v>0.8256944444444444</v>
      </c>
      <c r="G528" t="s">
        <v>8</v>
      </c>
      <c r="H528">
        <v>3.8</v>
      </c>
      <c r="I528">
        <v>400</v>
      </c>
      <c r="K528" s="14">
        <v>44189</v>
      </c>
      <c r="L528" s="15">
        <v>5.347222222222222E-2</v>
      </c>
      <c r="M528" s="13" t="s">
        <v>24</v>
      </c>
      <c r="N528" s="13">
        <v>2.66</v>
      </c>
      <c r="O528" s="13">
        <v>25</v>
      </c>
      <c r="Q528" s="18">
        <v>43976</v>
      </c>
      <c r="R528" s="19">
        <v>0.69236111111111109</v>
      </c>
      <c r="S528" s="17" t="s">
        <v>33</v>
      </c>
      <c r="T528" s="17">
        <v>0.5</v>
      </c>
      <c r="U528" s="17">
        <v>100</v>
      </c>
    </row>
    <row r="529" spans="5:21" x14ac:dyDescent="0.25">
      <c r="E529" s="10">
        <v>43999</v>
      </c>
      <c r="F529" s="11">
        <v>0.68958333333333333</v>
      </c>
      <c r="G529" t="s">
        <v>8</v>
      </c>
      <c r="H529">
        <v>2.0299999999999998</v>
      </c>
      <c r="I529">
        <v>300</v>
      </c>
      <c r="K529" s="14">
        <v>44189</v>
      </c>
      <c r="L529" s="15">
        <v>5.9722222222222225E-2</v>
      </c>
      <c r="M529" s="13" t="s">
        <v>24</v>
      </c>
      <c r="N529" s="13">
        <v>3.89</v>
      </c>
      <c r="O529" s="13">
        <v>550</v>
      </c>
      <c r="Q529" s="18">
        <v>44111</v>
      </c>
      <c r="R529" s="19">
        <v>0.65972222222222221</v>
      </c>
      <c r="S529" s="17" t="s">
        <v>45</v>
      </c>
      <c r="T529" s="17">
        <v>0.53</v>
      </c>
      <c r="U529" s="17">
        <v>50</v>
      </c>
    </row>
    <row r="530" spans="5:21" x14ac:dyDescent="0.25">
      <c r="E530" s="10">
        <v>43999</v>
      </c>
      <c r="F530" s="11">
        <v>0.84027777777777779</v>
      </c>
      <c r="G530" t="s">
        <v>8</v>
      </c>
      <c r="H530">
        <v>1.0900000000000001</v>
      </c>
      <c r="I530">
        <v>200</v>
      </c>
      <c r="K530" s="14">
        <v>43840</v>
      </c>
      <c r="L530" s="15">
        <v>0.63888888888888895</v>
      </c>
      <c r="M530" s="13" t="s">
        <v>17</v>
      </c>
      <c r="N530" s="13">
        <v>1.57</v>
      </c>
      <c r="O530" s="13">
        <v>100</v>
      </c>
      <c r="Q530" s="18">
        <v>43973</v>
      </c>
      <c r="R530" s="19">
        <v>0.88541666666666663</v>
      </c>
      <c r="S530" s="17" t="s">
        <v>33</v>
      </c>
      <c r="T530" s="17">
        <v>2.7</v>
      </c>
      <c r="U530" s="17">
        <v>200</v>
      </c>
    </row>
    <row r="531" spans="5:21" x14ac:dyDescent="0.25">
      <c r="E531" s="10">
        <v>43999</v>
      </c>
      <c r="F531" s="11">
        <v>0.8208333333333333</v>
      </c>
      <c r="G531" t="s">
        <v>8</v>
      </c>
      <c r="H531">
        <v>0.92</v>
      </c>
      <c r="I531">
        <v>75</v>
      </c>
      <c r="K531" s="14">
        <v>43840</v>
      </c>
      <c r="L531" s="15">
        <v>0.6020833333333333</v>
      </c>
      <c r="M531" s="13" t="s">
        <v>17</v>
      </c>
      <c r="N531" s="13">
        <v>8.6999999999999993</v>
      </c>
      <c r="O531" s="13">
        <v>50</v>
      </c>
      <c r="Q531" s="18">
        <v>44019</v>
      </c>
      <c r="R531" s="19">
        <v>0.9375</v>
      </c>
      <c r="S531" s="17" t="s">
        <v>31</v>
      </c>
      <c r="T531" s="17">
        <v>0.22</v>
      </c>
      <c r="U531" s="17">
        <v>50</v>
      </c>
    </row>
    <row r="532" spans="5:21" x14ac:dyDescent="0.25">
      <c r="E532" s="10">
        <v>44010</v>
      </c>
      <c r="F532" s="11">
        <v>0.81736111111111109</v>
      </c>
      <c r="G532" t="s">
        <v>8</v>
      </c>
      <c r="H532">
        <v>0.72</v>
      </c>
      <c r="I532">
        <v>25</v>
      </c>
      <c r="K532" s="14">
        <v>43840</v>
      </c>
      <c r="L532" s="15">
        <v>0.73749999999999993</v>
      </c>
      <c r="M532" s="13" t="s">
        <v>17</v>
      </c>
      <c r="N532" s="13">
        <v>6.98</v>
      </c>
      <c r="O532" s="13">
        <v>75</v>
      </c>
      <c r="Q532" s="18">
        <v>44099</v>
      </c>
      <c r="R532" s="19">
        <v>0.55833333333333335</v>
      </c>
      <c r="S532" s="17" t="s">
        <v>10</v>
      </c>
      <c r="T532" s="17">
        <v>0.19</v>
      </c>
      <c r="U532" s="17">
        <v>25</v>
      </c>
    </row>
    <row r="533" spans="5:21" x14ac:dyDescent="0.25">
      <c r="E533" s="10">
        <v>44010</v>
      </c>
      <c r="F533" s="11">
        <v>0.82916666666666661</v>
      </c>
      <c r="G533" t="s">
        <v>8</v>
      </c>
      <c r="H533">
        <v>0.61</v>
      </c>
      <c r="I533">
        <v>20</v>
      </c>
      <c r="K533" s="14">
        <v>43841</v>
      </c>
      <c r="L533" s="15">
        <v>7.3611111111111113E-2</v>
      </c>
      <c r="M533" s="13" t="s">
        <v>17</v>
      </c>
      <c r="N533" s="13">
        <v>9.1300000000000008</v>
      </c>
      <c r="O533" s="13">
        <v>300</v>
      </c>
      <c r="Q533" s="18">
        <v>43893</v>
      </c>
      <c r="R533" s="19">
        <v>1.0416666666666666E-2</v>
      </c>
      <c r="S533" s="17" t="s">
        <v>11</v>
      </c>
      <c r="T533" s="17">
        <v>2.7</v>
      </c>
      <c r="U533" s="17">
        <v>250</v>
      </c>
    </row>
    <row r="534" spans="5:21" x14ac:dyDescent="0.25">
      <c r="E534" s="10">
        <v>44016</v>
      </c>
      <c r="F534" s="11">
        <v>0.72916666666666663</v>
      </c>
      <c r="G534" t="s">
        <v>8</v>
      </c>
      <c r="H534">
        <v>0.1</v>
      </c>
      <c r="I534">
        <v>25</v>
      </c>
      <c r="K534" s="14">
        <v>43841</v>
      </c>
      <c r="L534" s="15">
        <v>3.6111111111111115E-2</v>
      </c>
      <c r="M534" s="13" t="s">
        <v>17</v>
      </c>
      <c r="N534" s="13">
        <v>0.2</v>
      </c>
      <c r="O534" s="13">
        <v>45</v>
      </c>
      <c r="Q534" s="18">
        <v>43933</v>
      </c>
      <c r="R534" s="19">
        <v>0.98055555555555562</v>
      </c>
      <c r="S534" s="17" t="s">
        <v>9</v>
      </c>
      <c r="T534" s="17">
        <v>0.71</v>
      </c>
      <c r="U534" s="17">
        <v>100</v>
      </c>
    </row>
    <row r="535" spans="5:21" x14ac:dyDescent="0.25">
      <c r="E535" s="10">
        <v>44020</v>
      </c>
      <c r="F535" s="11">
        <v>0.15138888888888888</v>
      </c>
      <c r="G535" t="s">
        <v>8</v>
      </c>
      <c r="H535">
        <v>18.690000000000001</v>
      </c>
      <c r="I535">
        <v>250</v>
      </c>
      <c r="K535" s="14">
        <v>43892</v>
      </c>
      <c r="L535" s="15">
        <v>0.92708333333333337</v>
      </c>
      <c r="M535" s="13" t="s">
        <v>17</v>
      </c>
      <c r="N535" s="13">
        <v>3.06</v>
      </c>
      <c r="O535" s="13">
        <v>50</v>
      </c>
      <c r="Q535" s="18">
        <v>43841</v>
      </c>
      <c r="R535" s="19">
        <v>0.16805555555555554</v>
      </c>
      <c r="S535" s="17" t="s">
        <v>24</v>
      </c>
      <c r="T535" s="17">
        <v>4.18</v>
      </c>
      <c r="U535" s="17">
        <v>880</v>
      </c>
    </row>
    <row r="536" spans="5:21" x14ac:dyDescent="0.25">
      <c r="E536" s="10">
        <v>44020</v>
      </c>
      <c r="F536" s="11">
        <v>0.1388888888888889</v>
      </c>
      <c r="G536" t="s">
        <v>8</v>
      </c>
      <c r="H536">
        <v>12.45</v>
      </c>
      <c r="I536">
        <v>200</v>
      </c>
      <c r="K536" s="14">
        <v>43902</v>
      </c>
      <c r="L536" s="15">
        <v>0.68055555555555547</v>
      </c>
      <c r="M536" s="13" t="s">
        <v>17</v>
      </c>
      <c r="N536" s="13">
        <v>0.6</v>
      </c>
      <c r="O536" s="13">
        <v>100</v>
      </c>
      <c r="Q536" s="18">
        <v>43949</v>
      </c>
      <c r="R536" s="19">
        <v>0.83472222222222225</v>
      </c>
      <c r="S536" s="17" t="s">
        <v>33</v>
      </c>
      <c r="T536" s="17">
        <v>5.2</v>
      </c>
      <c r="U536" s="17">
        <v>550</v>
      </c>
    </row>
    <row r="537" spans="5:21" x14ac:dyDescent="0.25">
      <c r="E537" s="10">
        <v>44020</v>
      </c>
      <c r="F537" s="11">
        <v>0.67222222222222217</v>
      </c>
      <c r="G537" t="s">
        <v>8</v>
      </c>
      <c r="H537">
        <v>8.86</v>
      </c>
      <c r="I537">
        <v>650</v>
      </c>
      <c r="K537" s="14">
        <v>43902</v>
      </c>
      <c r="L537" s="15">
        <v>0.67847222222222225</v>
      </c>
      <c r="M537" s="13" t="s">
        <v>17</v>
      </c>
      <c r="N537" s="13">
        <v>0.42</v>
      </c>
      <c r="O537" s="13">
        <v>75</v>
      </c>
      <c r="Q537" s="18">
        <v>43989</v>
      </c>
      <c r="R537" s="19">
        <v>0.73958333333333337</v>
      </c>
      <c r="S537" s="17" t="s">
        <v>31</v>
      </c>
      <c r="T537" s="17">
        <v>0.2</v>
      </c>
      <c r="U537" s="17">
        <v>30</v>
      </c>
    </row>
    <row r="538" spans="5:21" x14ac:dyDescent="0.25">
      <c r="E538" s="10">
        <v>44020</v>
      </c>
      <c r="F538" s="11">
        <v>0.76041666666666663</v>
      </c>
      <c r="G538" t="s">
        <v>8</v>
      </c>
      <c r="H538">
        <v>7.39</v>
      </c>
      <c r="I538">
        <v>50</v>
      </c>
      <c r="K538" s="14">
        <v>43945</v>
      </c>
      <c r="L538" s="15">
        <v>0.54722222222222217</v>
      </c>
      <c r="M538" s="13" t="s">
        <v>17</v>
      </c>
      <c r="N538" s="13">
        <v>0.02</v>
      </c>
      <c r="O538" s="13">
        <v>50</v>
      </c>
      <c r="Q538" s="18">
        <v>43940</v>
      </c>
      <c r="R538" s="19">
        <v>0.91319444444444453</v>
      </c>
      <c r="S538" s="17" t="s">
        <v>20</v>
      </c>
      <c r="T538" s="17">
        <v>8.9</v>
      </c>
      <c r="U538" s="17">
        <v>100</v>
      </c>
    </row>
    <row r="539" spans="5:21" x14ac:dyDescent="0.25">
      <c r="E539" s="10">
        <v>44020</v>
      </c>
      <c r="F539" s="11">
        <v>0.17361111111111113</v>
      </c>
      <c r="G539" t="s">
        <v>8</v>
      </c>
      <c r="H539">
        <v>2</v>
      </c>
      <c r="I539">
        <v>300</v>
      </c>
      <c r="K539" s="14">
        <v>43954</v>
      </c>
      <c r="L539" s="15">
        <v>0.53888888888888886</v>
      </c>
      <c r="M539" s="13" t="s">
        <v>17</v>
      </c>
      <c r="N539" s="13">
        <v>5.84</v>
      </c>
      <c r="O539" s="13">
        <v>150</v>
      </c>
      <c r="Q539" s="18">
        <v>43973</v>
      </c>
      <c r="R539" s="19">
        <v>0.84027777777777779</v>
      </c>
      <c r="S539" s="17" t="s">
        <v>6</v>
      </c>
      <c r="T539" s="17">
        <v>1.35</v>
      </c>
      <c r="U539" s="17">
        <v>400</v>
      </c>
    </row>
    <row r="540" spans="5:21" x14ac:dyDescent="0.25">
      <c r="E540" s="10">
        <v>44020</v>
      </c>
      <c r="F540" s="11">
        <v>0.73055555555555562</v>
      </c>
      <c r="G540" t="s">
        <v>8</v>
      </c>
      <c r="H540">
        <v>0.2</v>
      </c>
      <c r="I540">
        <v>20</v>
      </c>
      <c r="K540" s="14">
        <v>43955</v>
      </c>
      <c r="L540" s="15">
        <v>0.64097222222222217</v>
      </c>
      <c r="M540" s="13" t="s">
        <v>17</v>
      </c>
      <c r="N540" s="13">
        <v>4.04</v>
      </c>
      <c r="O540" s="13">
        <v>50</v>
      </c>
      <c r="Q540" s="18">
        <v>43970</v>
      </c>
      <c r="R540" s="19">
        <v>0.71319444444444446</v>
      </c>
      <c r="S540" s="17" t="s">
        <v>15</v>
      </c>
      <c r="T540" s="17">
        <v>0.88</v>
      </c>
      <c r="U540" s="17">
        <v>25</v>
      </c>
    </row>
    <row r="541" spans="5:21" x14ac:dyDescent="0.25">
      <c r="E541" s="10">
        <v>44023</v>
      </c>
      <c r="F541" s="11">
        <v>0.58958333333333335</v>
      </c>
      <c r="G541" t="s">
        <v>8</v>
      </c>
      <c r="H541">
        <v>2.4300000000000002</v>
      </c>
      <c r="I541">
        <v>125</v>
      </c>
      <c r="K541" s="14">
        <v>43976</v>
      </c>
      <c r="L541" s="15">
        <v>0.5625</v>
      </c>
      <c r="M541" s="13" t="s">
        <v>17</v>
      </c>
      <c r="N541" s="13">
        <v>0.01</v>
      </c>
      <c r="O541" s="13">
        <v>20</v>
      </c>
      <c r="Q541" s="18">
        <v>43955</v>
      </c>
      <c r="R541" s="19">
        <v>0.70138888888888884</v>
      </c>
      <c r="S541" s="17" t="s">
        <v>33</v>
      </c>
      <c r="T541" s="17">
        <v>2</v>
      </c>
      <c r="U541" s="17">
        <v>50</v>
      </c>
    </row>
    <row r="542" spans="5:21" x14ac:dyDescent="0.25">
      <c r="E542" s="10">
        <v>44023</v>
      </c>
      <c r="F542" s="11">
        <v>0.50416666666666665</v>
      </c>
      <c r="G542" t="s">
        <v>8</v>
      </c>
      <c r="H542">
        <v>1.5</v>
      </c>
      <c r="I542">
        <v>30</v>
      </c>
      <c r="K542" s="14">
        <v>43986</v>
      </c>
      <c r="L542" s="15">
        <v>8.0555555555555561E-2</v>
      </c>
      <c r="M542" s="13" t="s">
        <v>17</v>
      </c>
      <c r="N542" s="13">
        <v>1.78</v>
      </c>
      <c r="O542" s="13">
        <v>40</v>
      </c>
      <c r="Q542" s="18">
        <v>43929</v>
      </c>
      <c r="R542" s="19">
        <v>0.84236111111111101</v>
      </c>
      <c r="S542" s="17" t="s">
        <v>22</v>
      </c>
      <c r="T542" s="17">
        <v>5.25</v>
      </c>
      <c r="U542" s="17">
        <v>200</v>
      </c>
    </row>
    <row r="543" spans="5:21" x14ac:dyDescent="0.25">
      <c r="E543" s="10">
        <v>44029</v>
      </c>
      <c r="F543" s="11">
        <v>0.66249999999999998</v>
      </c>
      <c r="G543" t="s">
        <v>8</v>
      </c>
      <c r="H543">
        <v>3.16</v>
      </c>
      <c r="I543">
        <v>150</v>
      </c>
      <c r="K543" s="14">
        <v>43986</v>
      </c>
      <c r="L543" s="15">
        <v>5.5555555555555552E-2</v>
      </c>
      <c r="M543" s="13" t="s">
        <v>17</v>
      </c>
      <c r="N543" s="13">
        <v>5.69</v>
      </c>
      <c r="O543" s="13">
        <v>40</v>
      </c>
      <c r="Q543" s="18">
        <v>43934</v>
      </c>
      <c r="R543" s="19">
        <v>0.19375000000000001</v>
      </c>
      <c r="S543" s="17" t="s">
        <v>9</v>
      </c>
      <c r="T543" s="17">
        <v>1.18</v>
      </c>
      <c r="U543" s="17">
        <v>125</v>
      </c>
    </row>
    <row r="544" spans="5:21" x14ac:dyDescent="0.25">
      <c r="E544" s="10">
        <v>44029</v>
      </c>
      <c r="F544" s="11">
        <v>0.99930555555555556</v>
      </c>
      <c r="G544" t="s">
        <v>8</v>
      </c>
      <c r="H544">
        <v>2.96</v>
      </c>
      <c r="I544">
        <v>150</v>
      </c>
      <c r="K544" s="14">
        <v>43991</v>
      </c>
      <c r="L544" s="15">
        <v>0.79375000000000007</v>
      </c>
      <c r="M544" s="13" t="s">
        <v>17</v>
      </c>
      <c r="N544" s="13">
        <v>0.01</v>
      </c>
      <c r="O544" s="13">
        <v>25</v>
      </c>
      <c r="Q544" s="18">
        <v>43892</v>
      </c>
      <c r="R544" s="19">
        <v>0.92499999999999993</v>
      </c>
      <c r="S544" s="17" t="s">
        <v>21</v>
      </c>
      <c r="T544" s="17">
        <v>7.27</v>
      </c>
      <c r="U544" s="17">
        <v>100</v>
      </c>
    </row>
    <row r="545" spans="5:21" x14ac:dyDescent="0.25">
      <c r="E545" s="10">
        <v>44030</v>
      </c>
      <c r="F545" s="11">
        <v>0.87083333333333324</v>
      </c>
      <c r="G545" t="s">
        <v>8</v>
      </c>
      <c r="H545">
        <v>9.4600000000000009</v>
      </c>
      <c r="I545">
        <v>400</v>
      </c>
      <c r="K545" s="14">
        <v>44009</v>
      </c>
      <c r="L545" s="15">
        <v>0.6958333333333333</v>
      </c>
      <c r="M545" s="13" t="s">
        <v>17</v>
      </c>
      <c r="N545" s="13">
        <v>0.76</v>
      </c>
      <c r="O545" s="13">
        <v>100</v>
      </c>
      <c r="Q545" s="18">
        <v>43909</v>
      </c>
      <c r="R545" s="19">
        <v>0.74305555555555547</v>
      </c>
      <c r="S545" s="17" t="s">
        <v>29</v>
      </c>
      <c r="T545" s="17">
        <v>12.5</v>
      </c>
      <c r="U545" s="17">
        <v>500</v>
      </c>
    </row>
    <row r="546" spans="5:21" x14ac:dyDescent="0.25">
      <c r="E546" s="10">
        <v>44030</v>
      </c>
      <c r="F546" s="11">
        <v>0.87083333333333324</v>
      </c>
      <c r="G546" t="s">
        <v>8</v>
      </c>
      <c r="H546">
        <v>3.23</v>
      </c>
      <c r="I546">
        <v>400</v>
      </c>
      <c r="K546" s="14">
        <v>44009</v>
      </c>
      <c r="L546" s="15">
        <v>0.84305555555555556</v>
      </c>
      <c r="M546" s="13" t="s">
        <v>17</v>
      </c>
      <c r="N546" s="13">
        <v>0.74</v>
      </c>
      <c r="O546" s="13">
        <v>125</v>
      </c>
      <c r="Q546" s="18">
        <v>44099</v>
      </c>
      <c r="R546" s="19">
        <v>0.78611111111111109</v>
      </c>
      <c r="S546" s="17" t="s">
        <v>32</v>
      </c>
      <c r="T546" s="17">
        <v>0.8</v>
      </c>
      <c r="U546" s="17">
        <v>50</v>
      </c>
    </row>
    <row r="547" spans="5:21" x14ac:dyDescent="0.25">
      <c r="E547" s="10">
        <v>44030</v>
      </c>
      <c r="F547" s="11">
        <v>0.86249999999999993</v>
      </c>
      <c r="G547" t="s">
        <v>8</v>
      </c>
      <c r="H547">
        <v>2.85</v>
      </c>
      <c r="I547">
        <v>180</v>
      </c>
      <c r="K547" s="14">
        <v>44041</v>
      </c>
      <c r="L547" s="15">
        <v>0.53125</v>
      </c>
      <c r="M547" s="13" t="s">
        <v>17</v>
      </c>
      <c r="N547" s="13">
        <v>0.27</v>
      </c>
      <c r="O547" s="13">
        <v>20</v>
      </c>
      <c r="Q547" s="18">
        <v>43934</v>
      </c>
      <c r="R547" s="19">
        <v>8.6805555555555566E-2</v>
      </c>
      <c r="S547" s="17" t="s">
        <v>9</v>
      </c>
      <c r="T547" s="17">
        <v>3.08</v>
      </c>
      <c r="U547" s="17">
        <v>100</v>
      </c>
    </row>
    <row r="548" spans="5:21" x14ac:dyDescent="0.25">
      <c r="E548" s="10">
        <v>44030</v>
      </c>
      <c r="F548" s="11">
        <v>1.1805555555555555E-2</v>
      </c>
      <c r="G548" t="s">
        <v>8</v>
      </c>
      <c r="H548">
        <v>1.26</v>
      </c>
      <c r="I548">
        <v>75</v>
      </c>
      <c r="K548" s="14">
        <v>44075</v>
      </c>
      <c r="L548" s="15">
        <v>0.63472222222222219</v>
      </c>
      <c r="M548" s="13" t="s">
        <v>17</v>
      </c>
      <c r="N548" s="13">
        <v>2.1</v>
      </c>
      <c r="O548" s="13">
        <v>50</v>
      </c>
      <c r="Q548" s="18">
        <v>43945</v>
      </c>
      <c r="R548" s="19">
        <v>0.75555555555555554</v>
      </c>
      <c r="S548" s="17" t="s">
        <v>6</v>
      </c>
      <c r="T548" s="17">
        <v>0.11</v>
      </c>
      <c r="U548" s="17">
        <v>50</v>
      </c>
    </row>
    <row r="549" spans="5:21" x14ac:dyDescent="0.25">
      <c r="E549" s="10">
        <v>44037</v>
      </c>
      <c r="F549" s="11">
        <v>0.72986111111111107</v>
      </c>
      <c r="G549" t="s">
        <v>8</v>
      </c>
      <c r="H549">
        <v>1.89</v>
      </c>
      <c r="I549">
        <v>50</v>
      </c>
      <c r="K549" s="14">
        <v>43977</v>
      </c>
      <c r="L549" s="15">
        <v>0.76736111111111116</v>
      </c>
      <c r="M549" s="13" t="s">
        <v>8</v>
      </c>
      <c r="N549" s="13">
        <v>0.55000000000000004</v>
      </c>
      <c r="O549" s="13">
        <v>50</v>
      </c>
      <c r="Q549" s="18">
        <v>43989</v>
      </c>
      <c r="R549" s="19">
        <v>0.5625</v>
      </c>
      <c r="S549" s="17" t="s">
        <v>19</v>
      </c>
      <c r="T549" s="17">
        <v>1.43</v>
      </c>
      <c r="U549" s="17">
        <v>100</v>
      </c>
    </row>
    <row r="550" spans="5:21" x14ac:dyDescent="0.25">
      <c r="E550" s="10">
        <v>44037</v>
      </c>
      <c r="F550" s="11">
        <v>5.9722222222222225E-2</v>
      </c>
      <c r="G550" t="s">
        <v>8</v>
      </c>
      <c r="H550">
        <v>0.4</v>
      </c>
      <c r="I550">
        <v>40</v>
      </c>
      <c r="K550" s="14">
        <v>43977</v>
      </c>
      <c r="L550" s="15">
        <v>0.76041666666666663</v>
      </c>
      <c r="M550" s="13" t="s">
        <v>8</v>
      </c>
      <c r="N550" s="13">
        <v>0.26</v>
      </c>
      <c r="O550" s="13">
        <v>25</v>
      </c>
      <c r="Q550" s="18">
        <v>43933</v>
      </c>
      <c r="R550" s="19">
        <v>0.6694444444444444</v>
      </c>
      <c r="S550" s="17" t="s">
        <v>20</v>
      </c>
      <c r="T550" s="17">
        <v>8.98</v>
      </c>
      <c r="U550" s="17">
        <v>950</v>
      </c>
    </row>
    <row r="551" spans="5:21" x14ac:dyDescent="0.25">
      <c r="E551" s="10">
        <v>44037</v>
      </c>
      <c r="F551" s="11">
        <v>0.73402777777777783</v>
      </c>
      <c r="G551" t="s">
        <v>8</v>
      </c>
      <c r="H551">
        <v>0.18</v>
      </c>
      <c r="I551">
        <v>15</v>
      </c>
      <c r="K551" s="14">
        <v>43990</v>
      </c>
      <c r="L551" s="15">
        <v>0.76180555555555562</v>
      </c>
      <c r="M551" s="13" t="s">
        <v>8</v>
      </c>
      <c r="N551" s="13">
        <v>9</v>
      </c>
      <c r="O551" s="13">
        <v>300</v>
      </c>
      <c r="Q551" s="18">
        <v>44159</v>
      </c>
      <c r="R551" s="19">
        <v>0.90972222222222221</v>
      </c>
      <c r="S551" s="17" t="s">
        <v>33</v>
      </c>
      <c r="T551" s="17">
        <v>4</v>
      </c>
      <c r="U551" s="17">
        <v>250</v>
      </c>
    </row>
    <row r="552" spans="5:21" x14ac:dyDescent="0.25">
      <c r="E552" s="10">
        <v>44050</v>
      </c>
      <c r="F552" s="11">
        <v>0.79513888888888884</v>
      </c>
      <c r="G552" t="s">
        <v>8</v>
      </c>
      <c r="H552">
        <v>6.18</v>
      </c>
      <c r="I552">
        <v>250</v>
      </c>
      <c r="K552" s="14">
        <v>43990</v>
      </c>
      <c r="L552" s="15">
        <v>0.82291666666666663</v>
      </c>
      <c r="M552" s="13" t="s">
        <v>8</v>
      </c>
      <c r="N552" s="13">
        <v>1.2</v>
      </c>
      <c r="O552" s="13">
        <v>100</v>
      </c>
      <c r="Q552" s="18">
        <v>44057</v>
      </c>
      <c r="R552" s="19">
        <v>0.69236111111111109</v>
      </c>
      <c r="S552" s="17" t="s">
        <v>8</v>
      </c>
      <c r="T552" s="17">
        <v>6.59</v>
      </c>
      <c r="U552" s="17">
        <v>50</v>
      </c>
    </row>
    <row r="553" spans="5:21" x14ac:dyDescent="0.25">
      <c r="E553" s="10">
        <v>44050</v>
      </c>
      <c r="F553" s="11">
        <v>0.77083333333333337</v>
      </c>
      <c r="G553" t="s">
        <v>8</v>
      </c>
      <c r="H553">
        <v>0.2</v>
      </c>
      <c r="I553">
        <v>25</v>
      </c>
      <c r="K553" s="14">
        <v>43991</v>
      </c>
      <c r="L553" s="15">
        <v>0.69097222222222221</v>
      </c>
      <c r="M553" s="13" t="s">
        <v>8</v>
      </c>
      <c r="N553" s="13">
        <v>0.33</v>
      </c>
      <c r="O553" s="13">
        <v>25</v>
      </c>
      <c r="Q553" s="18">
        <v>43934</v>
      </c>
      <c r="R553" s="19">
        <v>0.34375</v>
      </c>
      <c r="S553" s="17" t="s">
        <v>14</v>
      </c>
      <c r="T553" s="17">
        <v>0.31</v>
      </c>
      <c r="U553" s="17">
        <v>29</v>
      </c>
    </row>
    <row r="554" spans="5:21" x14ac:dyDescent="0.25">
      <c r="E554" s="10">
        <v>44052</v>
      </c>
      <c r="F554" s="11">
        <v>0.55069444444444449</v>
      </c>
      <c r="G554" t="s">
        <v>8</v>
      </c>
      <c r="H554">
        <v>22</v>
      </c>
      <c r="I554">
        <v>200</v>
      </c>
      <c r="K554" s="14">
        <v>43999</v>
      </c>
      <c r="L554" s="15">
        <v>0.8208333333333333</v>
      </c>
      <c r="M554" s="13" t="s">
        <v>8</v>
      </c>
      <c r="N554" s="13">
        <v>0.92</v>
      </c>
      <c r="O554" s="13">
        <v>75</v>
      </c>
      <c r="Q554" s="18">
        <v>44047</v>
      </c>
      <c r="R554" s="19">
        <v>9.2361111111111116E-2</v>
      </c>
      <c r="S554" s="17" t="s">
        <v>35</v>
      </c>
      <c r="T554" s="17">
        <v>0.8</v>
      </c>
      <c r="U554" s="17">
        <v>200</v>
      </c>
    </row>
    <row r="555" spans="5:21" x14ac:dyDescent="0.25">
      <c r="E555" s="10">
        <v>44052</v>
      </c>
      <c r="F555" s="11">
        <v>0.59722222222222221</v>
      </c>
      <c r="G555" t="s">
        <v>8</v>
      </c>
      <c r="H555">
        <v>0.25</v>
      </c>
      <c r="I555">
        <v>100</v>
      </c>
      <c r="K555" s="14">
        <v>43999</v>
      </c>
      <c r="L555" s="15">
        <v>0.84027777777777779</v>
      </c>
      <c r="M555" s="13" t="s">
        <v>8</v>
      </c>
      <c r="N555" s="13">
        <v>1.0900000000000001</v>
      </c>
      <c r="O555" s="13">
        <v>200</v>
      </c>
      <c r="Q555" s="18">
        <v>43841</v>
      </c>
      <c r="R555" s="19">
        <v>0.31944444444444448</v>
      </c>
      <c r="S555" s="17" t="s">
        <v>11</v>
      </c>
      <c r="T555" s="17">
        <v>2.61</v>
      </c>
      <c r="U555" s="17">
        <v>50</v>
      </c>
    </row>
    <row r="556" spans="5:21" x14ac:dyDescent="0.25">
      <c r="E556" s="10">
        <v>44056</v>
      </c>
      <c r="F556" s="11">
        <v>0.7944444444444444</v>
      </c>
      <c r="G556" t="s">
        <v>8</v>
      </c>
      <c r="H556">
        <v>2</v>
      </c>
      <c r="I556">
        <v>120</v>
      </c>
      <c r="K556" s="14">
        <v>43999</v>
      </c>
      <c r="L556" s="15">
        <v>0.8256944444444444</v>
      </c>
      <c r="M556" s="13" t="s">
        <v>8</v>
      </c>
      <c r="N556" s="13">
        <v>3.8</v>
      </c>
      <c r="O556" s="13">
        <v>400</v>
      </c>
      <c r="Q556" s="18">
        <v>43921</v>
      </c>
      <c r="R556" s="19">
        <v>0.3979166666666667</v>
      </c>
      <c r="S556" s="17" t="s">
        <v>20</v>
      </c>
      <c r="T556" s="17">
        <v>0.14000000000000001</v>
      </c>
      <c r="U556" s="17">
        <v>80</v>
      </c>
    </row>
    <row r="557" spans="5:21" x14ac:dyDescent="0.25">
      <c r="E557" s="10">
        <v>44056</v>
      </c>
      <c r="F557" s="11">
        <v>0.8222222222222223</v>
      </c>
      <c r="G557" t="s">
        <v>8</v>
      </c>
      <c r="H557">
        <v>0.1</v>
      </c>
      <c r="I557">
        <v>30</v>
      </c>
      <c r="K557" s="14">
        <v>43999</v>
      </c>
      <c r="L557" s="15">
        <v>0.68958333333333333</v>
      </c>
      <c r="M557" s="13" t="s">
        <v>8</v>
      </c>
      <c r="N557" s="13">
        <v>2.0299999999999998</v>
      </c>
      <c r="O557" s="13">
        <v>300</v>
      </c>
      <c r="Q557" s="18">
        <v>43841</v>
      </c>
      <c r="R557" s="19">
        <v>8.4722222222222213E-2</v>
      </c>
      <c r="S557" s="17" t="s">
        <v>15</v>
      </c>
      <c r="T557" s="17">
        <v>0.86</v>
      </c>
      <c r="U557" s="17">
        <v>50</v>
      </c>
    </row>
    <row r="558" spans="5:21" x14ac:dyDescent="0.25">
      <c r="E558" s="10">
        <v>44057</v>
      </c>
      <c r="F558" s="11">
        <v>0.61249999999999993</v>
      </c>
      <c r="G558" t="s">
        <v>8</v>
      </c>
      <c r="H558">
        <v>13.4</v>
      </c>
      <c r="I558">
        <v>150</v>
      </c>
      <c r="K558" s="14">
        <v>44010</v>
      </c>
      <c r="L558" s="15">
        <v>0.82916666666666661</v>
      </c>
      <c r="M558" s="13" t="s">
        <v>8</v>
      </c>
      <c r="N558" s="13">
        <v>0.61</v>
      </c>
      <c r="O558" s="13">
        <v>20</v>
      </c>
      <c r="Q558" s="18">
        <v>43934</v>
      </c>
      <c r="R558" s="19">
        <v>4.2361111111111106E-2</v>
      </c>
      <c r="S558" s="17" t="s">
        <v>9</v>
      </c>
      <c r="T558" s="17">
        <v>4.54</v>
      </c>
      <c r="U558" s="17">
        <v>200</v>
      </c>
    </row>
    <row r="559" spans="5:21" x14ac:dyDescent="0.25">
      <c r="E559" s="10">
        <v>44057</v>
      </c>
      <c r="F559" s="11">
        <v>0.69791666666666663</v>
      </c>
      <c r="G559" t="s">
        <v>8</v>
      </c>
      <c r="H559">
        <v>7.31</v>
      </c>
      <c r="I559">
        <v>85</v>
      </c>
      <c r="K559" s="14">
        <v>44010</v>
      </c>
      <c r="L559" s="15">
        <v>0.81736111111111109</v>
      </c>
      <c r="M559" s="13" t="s">
        <v>8</v>
      </c>
      <c r="N559" s="13">
        <v>0.72</v>
      </c>
      <c r="O559" s="13">
        <v>25</v>
      </c>
      <c r="Q559" s="18">
        <v>44047</v>
      </c>
      <c r="R559" s="19">
        <v>0.26250000000000001</v>
      </c>
      <c r="S559" s="17" t="s">
        <v>18</v>
      </c>
      <c r="T559" s="17">
        <v>0.74</v>
      </c>
      <c r="U559" s="17">
        <v>35</v>
      </c>
    </row>
    <row r="560" spans="5:21" x14ac:dyDescent="0.25">
      <c r="E560" s="10">
        <v>44057</v>
      </c>
      <c r="F560" s="11">
        <v>0.69236111111111109</v>
      </c>
      <c r="G560" t="s">
        <v>8</v>
      </c>
      <c r="H560">
        <v>6.59</v>
      </c>
      <c r="I560">
        <v>50</v>
      </c>
      <c r="K560" s="14">
        <v>44016</v>
      </c>
      <c r="L560" s="15">
        <v>0.72916666666666663</v>
      </c>
      <c r="M560" s="13" t="s">
        <v>8</v>
      </c>
      <c r="N560" s="13">
        <v>0.1</v>
      </c>
      <c r="O560" s="13">
        <v>25</v>
      </c>
      <c r="Q560" s="18">
        <v>44053</v>
      </c>
      <c r="R560" s="19">
        <v>0.68888888888888899</v>
      </c>
      <c r="S560" s="17" t="s">
        <v>22</v>
      </c>
      <c r="T560" s="17">
        <v>2.41</v>
      </c>
      <c r="U560" s="17">
        <v>100</v>
      </c>
    </row>
    <row r="561" spans="5:21" x14ac:dyDescent="0.25">
      <c r="E561" s="10">
        <v>44057</v>
      </c>
      <c r="F561" s="11">
        <v>0.66180555555555554</v>
      </c>
      <c r="G561" t="s">
        <v>8</v>
      </c>
      <c r="H561">
        <v>5.91</v>
      </c>
      <c r="I561">
        <v>200</v>
      </c>
      <c r="K561" s="14">
        <v>44020</v>
      </c>
      <c r="L561" s="15">
        <v>0.67222222222222217</v>
      </c>
      <c r="M561" s="13" t="s">
        <v>8</v>
      </c>
      <c r="N561" s="13">
        <v>8.86</v>
      </c>
      <c r="O561" s="13">
        <v>650</v>
      </c>
      <c r="Q561" s="18">
        <v>43999</v>
      </c>
      <c r="R561" s="19">
        <v>0.84027777777777779</v>
      </c>
      <c r="S561" s="17" t="s">
        <v>8</v>
      </c>
      <c r="T561" s="17">
        <v>1.0900000000000001</v>
      </c>
      <c r="U561" s="17">
        <v>200</v>
      </c>
    </row>
    <row r="562" spans="5:21" x14ac:dyDescent="0.25">
      <c r="E562" s="10">
        <v>44057</v>
      </c>
      <c r="F562" s="11">
        <v>0.69513888888888886</v>
      </c>
      <c r="G562" t="s">
        <v>8</v>
      </c>
      <c r="H562">
        <v>5.65</v>
      </c>
      <c r="I562">
        <v>200</v>
      </c>
      <c r="K562" s="14">
        <v>44020</v>
      </c>
      <c r="L562" s="15">
        <v>0.17361111111111113</v>
      </c>
      <c r="M562" s="13" t="s">
        <v>8</v>
      </c>
      <c r="N562" s="13">
        <v>2</v>
      </c>
      <c r="O562" s="13">
        <v>300</v>
      </c>
      <c r="Q562" s="18">
        <v>43918</v>
      </c>
      <c r="R562" s="19">
        <v>0.8041666666666667</v>
      </c>
      <c r="S562" s="17" t="s">
        <v>11</v>
      </c>
      <c r="T562" s="17">
        <v>5.0599999999999996</v>
      </c>
      <c r="U562" s="17">
        <v>575</v>
      </c>
    </row>
    <row r="563" spans="5:21" x14ac:dyDescent="0.25">
      <c r="E563" s="10">
        <v>44057</v>
      </c>
      <c r="F563" s="11">
        <v>0.60902777777777783</v>
      </c>
      <c r="G563" t="s">
        <v>8</v>
      </c>
      <c r="H563">
        <v>4</v>
      </c>
      <c r="I563">
        <v>50</v>
      </c>
      <c r="K563" s="14">
        <v>44020</v>
      </c>
      <c r="L563" s="15">
        <v>0.73055555555555562</v>
      </c>
      <c r="M563" s="13" t="s">
        <v>8</v>
      </c>
      <c r="N563" s="13">
        <v>0.2</v>
      </c>
      <c r="O563" s="13">
        <v>20</v>
      </c>
      <c r="Q563" s="18">
        <v>44114</v>
      </c>
      <c r="R563" s="19">
        <v>0.77986111111111101</v>
      </c>
      <c r="S563" s="17" t="s">
        <v>9</v>
      </c>
      <c r="T563" s="17">
        <v>0.66</v>
      </c>
      <c r="U563" s="17">
        <v>200</v>
      </c>
    </row>
    <row r="564" spans="5:21" x14ac:dyDescent="0.25">
      <c r="E564" s="10">
        <v>44057</v>
      </c>
      <c r="F564" s="11">
        <v>0.7006944444444444</v>
      </c>
      <c r="G564" t="s">
        <v>8</v>
      </c>
      <c r="H564">
        <v>3.5</v>
      </c>
      <c r="I564">
        <v>50</v>
      </c>
      <c r="K564" s="14">
        <v>44020</v>
      </c>
      <c r="L564" s="15">
        <v>0.1388888888888889</v>
      </c>
      <c r="M564" s="13" t="s">
        <v>8</v>
      </c>
      <c r="N564" s="13">
        <v>12.45</v>
      </c>
      <c r="O564" s="13">
        <v>200</v>
      </c>
      <c r="Q564" s="18">
        <v>44053</v>
      </c>
      <c r="R564" s="19">
        <v>0.57638888888888895</v>
      </c>
      <c r="S564" s="17" t="s">
        <v>15</v>
      </c>
      <c r="T564" s="17">
        <v>6.28</v>
      </c>
      <c r="U564" s="17">
        <v>40</v>
      </c>
    </row>
    <row r="565" spans="5:21" x14ac:dyDescent="0.25">
      <c r="E565" s="10">
        <v>44057</v>
      </c>
      <c r="F565" s="11">
        <v>0.71458333333333324</v>
      </c>
      <c r="G565" t="s">
        <v>8</v>
      </c>
      <c r="H565">
        <v>2.94</v>
      </c>
      <c r="I565">
        <v>150</v>
      </c>
      <c r="K565" s="14">
        <v>44020</v>
      </c>
      <c r="L565" s="15">
        <v>0.15138888888888888</v>
      </c>
      <c r="M565" s="13" t="s">
        <v>8</v>
      </c>
      <c r="N565" s="13">
        <v>18.690000000000001</v>
      </c>
      <c r="O565" s="13">
        <v>250</v>
      </c>
      <c r="Q565" s="18">
        <v>44024</v>
      </c>
      <c r="R565" s="19">
        <v>0.74305555555555547</v>
      </c>
      <c r="S565" s="17" t="s">
        <v>7</v>
      </c>
      <c r="T565" s="17">
        <v>1.52</v>
      </c>
      <c r="U565" s="17">
        <v>75</v>
      </c>
    </row>
    <row r="566" spans="5:21" x14ac:dyDescent="0.25">
      <c r="E566" s="10">
        <v>44057</v>
      </c>
      <c r="F566" s="11">
        <v>0.75694444444444453</v>
      </c>
      <c r="G566" t="s">
        <v>8</v>
      </c>
      <c r="H566">
        <v>2.7</v>
      </c>
      <c r="I566">
        <v>150</v>
      </c>
      <c r="K566" s="14">
        <v>44020</v>
      </c>
      <c r="L566" s="15">
        <v>0.76041666666666663</v>
      </c>
      <c r="M566" s="13" t="s">
        <v>8</v>
      </c>
      <c r="N566" s="13">
        <v>7.39</v>
      </c>
      <c r="O566" s="13">
        <v>50</v>
      </c>
      <c r="Q566" s="18">
        <v>43873</v>
      </c>
      <c r="R566" s="19">
        <v>0.7270833333333333</v>
      </c>
      <c r="S566" s="17" t="s">
        <v>21</v>
      </c>
      <c r="T566" s="17">
        <v>1.89</v>
      </c>
      <c r="U566" s="17">
        <v>100</v>
      </c>
    </row>
    <row r="567" spans="5:21" x14ac:dyDescent="0.25">
      <c r="E567" s="10">
        <v>44057</v>
      </c>
      <c r="F567" s="11">
        <v>0.70138888888888884</v>
      </c>
      <c r="G567" t="s">
        <v>8</v>
      </c>
      <c r="H567">
        <v>2.44</v>
      </c>
      <c r="I567">
        <v>250</v>
      </c>
      <c r="K567" s="14">
        <v>44023</v>
      </c>
      <c r="L567" s="15">
        <v>0.58958333333333335</v>
      </c>
      <c r="M567" s="13" t="s">
        <v>8</v>
      </c>
      <c r="N567" s="13">
        <v>2.4300000000000002</v>
      </c>
      <c r="O567" s="13">
        <v>125</v>
      </c>
      <c r="Q567" s="18">
        <v>43866</v>
      </c>
      <c r="R567" s="19">
        <v>0.63888888888888895</v>
      </c>
      <c r="S567" s="17" t="s">
        <v>24</v>
      </c>
      <c r="T567" s="17">
        <v>2.64</v>
      </c>
      <c r="U567" s="17">
        <v>440</v>
      </c>
    </row>
    <row r="568" spans="5:21" x14ac:dyDescent="0.25">
      <c r="E568" s="10">
        <v>44057</v>
      </c>
      <c r="F568" s="11">
        <v>0.6972222222222223</v>
      </c>
      <c r="G568" t="s">
        <v>8</v>
      </c>
      <c r="H568">
        <v>2.16</v>
      </c>
      <c r="I568">
        <v>300</v>
      </c>
      <c r="K568" s="14">
        <v>44023</v>
      </c>
      <c r="L568" s="15">
        <v>0.50416666666666665</v>
      </c>
      <c r="M568" s="13" t="s">
        <v>8</v>
      </c>
      <c r="N568" s="13">
        <v>1.5</v>
      </c>
      <c r="O568" s="13">
        <v>30</v>
      </c>
      <c r="Q568" s="18">
        <v>44047</v>
      </c>
      <c r="R568" s="19">
        <v>0.12013888888888889</v>
      </c>
      <c r="S568" s="17" t="s">
        <v>35</v>
      </c>
      <c r="T568" s="17">
        <v>4.7</v>
      </c>
      <c r="U568" s="17">
        <v>250</v>
      </c>
    </row>
    <row r="569" spans="5:21" x14ac:dyDescent="0.25">
      <c r="E569" s="10">
        <v>44057</v>
      </c>
      <c r="F569" s="11">
        <v>0.7583333333333333</v>
      </c>
      <c r="G569" t="s">
        <v>8</v>
      </c>
      <c r="H569">
        <v>2</v>
      </c>
      <c r="I569">
        <v>100</v>
      </c>
      <c r="K569" s="14">
        <v>44029</v>
      </c>
      <c r="L569" s="15">
        <v>0.99930555555555556</v>
      </c>
      <c r="M569" s="13" t="s">
        <v>8</v>
      </c>
      <c r="N569" s="13">
        <v>2.96</v>
      </c>
      <c r="O569" s="13">
        <v>150</v>
      </c>
      <c r="Q569" s="18">
        <v>44023</v>
      </c>
      <c r="R569" s="19">
        <v>0.58958333333333335</v>
      </c>
      <c r="S569" s="17" t="s">
        <v>8</v>
      </c>
      <c r="T569" s="17">
        <v>2.4300000000000002</v>
      </c>
      <c r="U569" s="17">
        <v>125</v>
      </c>
    </row>
    <row r="570" spans="5:21" x14ac:dyDescent="0.25">
      <c r="E570" s="10">
        <v>44057</v>
      </c>
      <c r="F570" s="11">
        <v>0.61805555555555558</v>
      </c>
      <c r="G570" t="s">
        <v>8</v>
      </c>
      <c r="H570">
        <v>1.71</v>
      </c>
      <c r="I570">
        <v>150</v>
      </c>
      <c r="K570" s="14">
        <v>44029</v>
      </c>
      <c r="L570" s="15">
        <v>0.66249999999999998</v>
      </c>
      <c r="M570" s="13" t="s">
        <v>8</v>
      </c>
      <c r="N570" s="13">
        <v>3.16</v>
      </c>
      <c r="O570" s="13">
        <v>150</v>
      </c>
      <c r="Q570" s="18">
        <v>44181</v>
      </c>
      <c r="R570" s="19">
        <v>0.66180555555555554</v>
      </c>
      <c r="S570" s="17" t="s">
        <v>19</v>
      </c>
      <c r="T570" s="17">
        <v>12.93</v>
      </c>
      <c r="U570" s="17">
        <v>250</v>
      </c>
    </row>
    <row r="571" spans="5:21" x14ac:dyDescent="0.25">
      <c r="E571" s="10">
        <v>44057</v>
      </c>
      <c r="F571" s="11">
        <v>0.74791666666666667</v>
      </c>
      <c r="G571" t="s">
        <v>8</v>
      </c>
      <c r="H571">
        <v>1.5</v>
      </c>
      <c r="I571">
        <v>100</v>
      </c>
      <c r="K571" s="14">
        <v>44030</v>
      </c>
      <c r="L571" s="15">
        <v>0.87083333333333324</v>
      </c>
      <c r="M571" s="13" t="s">
        <v>8</v>
      </c>
      <c r="N571" s="13">
        <v>3.23</v>
      </c>
      <c r="O571" s="13">
        <v>400</v>
      </c>
      <c r="Q571" s="18">
        <v>43840</v>
      </c>
      <c r="R571" s="19">
        <v>0.73749999999999993</v>
      </c>
      <c r="S571" s="17" t="s">
        <v>17</v>
      </c>
      <c r="T571" s="17">
        <v>6.98</v>
      </c>
      <c r="U571" s="17">
        <v>75</v>
      </c>
    </row>
    <row r="572" spans="5:21" x14ac:dyDescent="0.25">
      <c r="E572" s="10">
        <v>44057</v>
      </c>
      <c r="F572" s="11">
        <v>0.69930555555555562</v>
      </c>
      <c r="G572" t="s">
        <v>8</v>
      </c>
      <c r="H572">
        <v>1.31</v>
      </c>
      <c r="I572">
        <v>65</v>
      </c>
      <c r="K572" s="14">
        <v>44030</v>
      </c>
      <c r="L572" s="15">
        <v>0.86249999999999993</v>
      </c>
      <c r="M572" s="13" t="s">
        <v>8</v>
      </c>
      <c r="N572" s="13">
        <v>2.85</v>
      </c>
      <c r="O572" s="13">
        <v>180</v>
      </c>
      <c r="Q572" s="18">
        <v>43944</v>
      </c>
      <c r="R572" s="19">
        <v>0.12291666666666667</v>
      </c>
      <c r="S572" s="17" t="s">
        <v>24</v>
      </c>
      <c r="T572" s="17">
        <v>6.49</v>
      </c>
      <c r="U572" s="17">
        <v>200</v>
      </c>
    </row>
    <row r="573" spans="5:21" x14ac:dyDescent="0.25">
      <c r="E573" s="10">
        <v>44057</v>
      </c>
      <c r="F573" s="11">
        <v>0.63680555555555551</v>
      </c>
      <c r="G573" t="s">
        <v>8</v>
      </c>
      <c r="H573">
        <v>1.2</v>
      </c>
      <c r="I573">
        <v>75</v>
      </c>
      <c r="K573" s="14">
        <v>44030</v>
      </c>
      <c r="L573" s="15">
        <v>0.87083333333333324</v>
      </c>
      <c r="M573" s="13" t="s">
        <v>8</v>
      </c>
      <c r="N573" s="13">
        <v>9.4600000000000009</v>
      </c>
      <c r="O573" s="13">
        <v>400</v>
      </c>
      <c r="Q573" s="18">
        <v>44019</v>
      </c>
      <c r="R573" s="19">
        <v>0.67361111111111116</v>
      </c>
      <c r="S573" s="17" t="s">
        <v>41</v>
      </c>
      <c r="T573" s="17">
        <v>0.15</v>
      </c>
      <c r="U573" s="17">
        <v>50</v>
      </c>
    </row>
    <row r="574" spans="5:21" x14ac:dyDescent="0.25">
      <c r="E574" s="10">
        <v>44057</v>
      </c>
      <c r="F574" s="11">
        <v>0.6645833333333333</v>
      </c>
      <c r="G574" t="s">
        <v>8</v>
      </c>
      <c r="H574">
        <v>1.08</v>
      </c>
      <c r="I574">
        <v>125</v>
      </c>
      <c r="K574" s="14">
        <v>44030</v>
      </c>
      <c r="L574" s="15">
        <v>1.1805555555555555E-2</v>
      </c>
      <c r="M574" s="13" t="s">
        <v>8</v>
      </c>
      <c r="N574" s="13">
        <v>1.26</v>
      </c>
      <c r="O574" s="13">
        <v>75</v>
      </c>
      <c r="Q574" s="18">
        <v>43841</v>
      </c>
      <c r="R574" s="19">
        <v>0.68958333333333333</v>
      </c>
      <c r="S574" s="17" t="s">
        <v>20</v>
      </c>
      <c r="T574" s="17">
        <v>5.8</v>
      </c>
      <c r="U574" s="17">
        <v>275</v>
      </c>
    </row>
    <row r="575" spans="5:21" x14ac:dyDescent="0.25">
      <c r="E575" s="10">
        <v>44057</v>
      </c>
      <c r="F575" s="11">
        <v>0.61041666666666672</v>
      </c>
      <c r="G575" t="s">
        <v>8</v>
      </c>
      <c r="H575">
        <v>1</v>
      </c>
      <c r="I575">
        <v>40</v>
      </c>
      <c r="K575" s="14">
        <v>44037</v>
      </c>
      <c r="L575" s="15">
        <v>0.72986111111111107</v>
      </c>
      <c r="M575" s="13" t="s">
        <v>8</v>
      </c>
      <c r="N575" s="13">
        <v>1.89</v>
      </c>
      <c r="O575" s="13">
        <v>50</v>
      </c>
      <c r="Q575" s="18">
        <v>43944</v>
      </c>
      <c r="R575" s="19">
        <v>5.5555555555555558E-3</v>
      </c>
      <c r="S575" s="17" t="s">
        <v>26</v>
      </c>
      <c r="T575" s="17">
        <v>3.62</v>
      </c>
      <c r="U575" s="17">
        <v>100</v>
      </c>
    </row>
    <row r="576" spans="5:21" x14ac:dyDescent="0.25">
      <c r="E576" s="10">
        <v>44057</v>
      </c>
      <c r="F576" s="11">
        <v>0.7270833333333333</v>
      </c>
      <c r="G576" t="s">
        <v>8</v>
      </c>
      <c r="H576">
        <v>0.95</v>
      </c>
      <c r="I576">
        <v>25</v>
      </c>
      <c r="K576" s="14">
        <v>44037</v>
      </c>
      <c r="L576" s="15">
        <v>5.9722222222222225E-2</v>
      </c>
      <c r="M576" s="13" t="s">
        <v>8</v>
      </c>
      <c r="N576" s="13">
        <v>0.4</v>
      </c>
      <c r="O576" s="13">
        <v>40</v>
      </c>
      <c r="Q576" s="18">
        <v>43934</v>
      </c>
      <c r="R576" s="19">
        <v>0.33958333333333335</v>
      </c>
      <c r="S576" s="17" t="s">
        <v>19</v>
      </c>
      <c r="T576" s="17">
        <v>3.06</v>
      </c>
      <c r="U576" s="17">
        <v>175</v>
      </c>
    </row>
    <row r="577" spans="5:21" x14ac:dyDescent="0.25">
      <c r="E577" s="10">
        <v>44057</v>
      </c>
      <c r="F577" s="11">
        <v>0.65625</v>
      </c>
      <c r="G577" t="s">
        <v>8</v>
      </c>
      <c r="H577">
        <v>0.61</v>
      </c>
      <c r="I577">
        <v>50</v>
      </c>
      <c r="K577" s="14">
        <v>44037</v>
      </c>
      <c r="L577" s="15">
        <v>0.73402777777777783</v>
      </c>
      <c r="M577" s="13" t="s">
        <v>8</v>
      </c>
      <c r="N577" s="13">
        <v>0.18</v>
      </c>
      <c r="O577" s="13">
        <v>15</v>
      </c>
      <c r="Q577" s="18">
        <v>44057</v>
      </c>
      <c r="R577" s="19">
        <v>0.61041666666666672</v>
      </c>
      <c r="S577" s="17" t="s">
        <v>8</v>
      </c>
      <c r="T577" s="17">
        <v>1</v>
      </c>
      <c r="U577" s="17">
        <v>40</v>
      </c>
    </row>
    <row r="578" spans="5:21" x14ac:dyDescent="0.25">
      <c r="E578" s="10">
        <v>44057</v>
      </c>
      <c r="F578" s="11">
        <v>0.78819444444444453</v>
      </c>
      <c r="G578" t="s">
        <v>8</v>
      </c>
      <c r="H578">
        <v>0.4</v>
      </c>
      <c r="I578">
        <v>50</v>
      </c>
      <c r="K578" s="14">
        <v>44050</v>
      </c>
      <c r="L578" s="15">
        <v>0.79513888888888884</v>
      </c>
      <c r="M578" s="13" t="s">
        <v>8</v>
      </c>
      <c r="N578" s="13">
        <v>6.18</v>
      </c>
      <c r="O578" s="13">
        <v>250</v>
      </c>
      <c r="Q578" s="18">
        <v>44053</v>
      </c>
      <c r="R578" s="19">
        <v>0.45902777777777781</v>
      </c>
      <c r="S578" s="17" t="s">
        <v>23</v>
      </c>
      <c r="T578" s="17">
        <v>1.48</v>
      </c>
      <c r="U578" s="17">
        <v>40</v>
      </c>
    </row>
    <row r="579" spans="5:21" x14ac:dyDescent="0.25">
      <c r="E579" s="10">
        <v>44057</v>
      </c>
      <c r="F579" s="11">
        <v>0.60972222222222217</v>
      </c>
      <c r="G579" t="s">
        <v>8</v>
      </c>
      <c r="H579">
        <v>0.4</v>
      </c>
      <c r="I579">
        <v>30</v>
      </c>
      <c r="K579" s="14">
        <v>44050</v>
      </c>
      <c r="L579" s="15">
        <v>0.77083333333333337</v>
      </c>
      <c r="M579" s="13" t="s">
        <v>8</v>
      </c>
      <c r="N579" s="13">
        <v>0.2</v>
      </c>
      <c r="O579" s="13">
        <v>25</v>
      </c>
      <c r="Q579" s="18">
        <v>44075</v>
      </c>
      <c r="R579" s="19">
        <v>0.64444444444444449</v>
      </c>
      <c r="S579" s="17" t="s">
        <v>21</v>
      </c>
      <c r="T579" s="17">
        <v>2.8</v>
      </c>
      <c r="U579" s="17">
        <v>25</v>
      </c>
    </row>
    <row r="580" spans="5:21" x14ac:dyDescent="0.25">
      <c r="E580" s="10">
        <v>44057</v>
      </c>
      <c r="F580" s="11">
        <v>0.77222222222222225</v>
      </c>
      <c r="G580" t="s">
        <v>8</v>
      </c>
      <c r="H580">
        <v>0.39</v>
      </c>
      <c r="I580">
        <v>65</v>
      </c>
      <c r="K580" s="14">
        <v>44052</v>
      </c>
      <c r="L580" s="15">
        <v>0.55069444444444449</v>
      </c>
      <c r="M580" s="13" t="s">
        <v>8</v>
      </c>
      <c r="N580" s="13">
        <v>22</v>
      </c>
      <c r="O580" s="13">
        <v>200</v>
      </c>
      <c r="Q580" s="18">
        <v>44057</v>
      </c>
      <c r="R580" s="19">
        <v>0.7270833333333333</v>
      </c>
      <c r="S580" s="17" t="s">
        <v>8</v>
      </c>
      <c r="T580" s="17">
        <v>0.95</v>
      </c>
      <c r="U580" s="17">
        <v>25</v>
      </c>
    </row>
    <row r="581" spans="5:21" x14ac:dyDescent="0.25">
      <c r="E581" s="10">
        <v>44057</v>
      </c>
      <c r="F581" s="11">
        <v>0.74236111111111114</v>
      </c>
      <c r="G581" t="s">
        <v>8</v>
      </c>
      <c r="H581">
        <v>0.28000000000000003</v>
      </c>
      <c r="I581">
        <v>75</v>
      </c>
      <c r="K581" s="14">
        <v>44052</v>
      </c>
      <c r="L581" s="15">
        <v>0.59722222222222221</v>
      </c>
      <c r="M581" s="13" t="s">
        <v>8</v>
      </c>
      <c r="N581" s="13">
        <v>0.25</v>
      </c>
      <c r="O581" s="13">
        <v>100</v>
      </c>
      <c r="Q581" s="18">
        <v>43933</v>
      </c>
      <c r="R581" s="19">
        <v>0.39583333333333331</v>
      </c>
      <c r="S581" s="17" t="s">
        <v>26</v>
      </c>
      <c r="T581" s="17">
        <v>1.62</v>
      </c>
      <c r="U581" s="17">
        <v>400</v>
      </c>
    </row>
    <row r="582" spans="5:21" x14ac:dyDescent="0.25">
      <c r="E582" s="10">
        <v>44057</v>
      </c>
      <c r="F582" s="11">
        <v>0.64861111111111114</v>
      </c>
      <c r="G582" t="s">
        <v>8</v>
      </c>
      <c r="H582">
        <v>0.03</v>
      </c>
      <c r="I582">
        <v>10</v>
      </c>
      <c r="K582" s="14">
        <v>44056</v>
      </c>
      <c r="L582" s="15">
        <v>0.7944444444444444</v>
      </c>
      <c r="M582" s="13" t="s">
        <v>8</v>
      </c>
      <c r="N582" s="13">
        <v>2</v>
      </c>
      <c r="O582" s="13">
        <v>120</v>
      </c>
      <c r="Q582" s="18">
        <v>43943</v>
      </c>
      <c r="R582" s="19">
        <v>0.88680555555555562</v>
      </c>
      <c r="S582" s="17" t="s">
        <v>26</v>
      </c>
      <c r="T582" s="17">
        <v>4.01</v>
      </c>
      <c r="U582" s="17">
        <v>880</v>
      </c>
    </row>
    <row r="583" spans="5:21" x14ac:dyDescent="0.25">
      <c r="E583" s="10">
        <v>43840</v>
      </c>
      <c r="F583" s="11">
        <v>0.6020833333333333</v>
      </c>
      <c r="G583" t="s">
        <v>17</v>
      </c>
      <c r="H583">
        <v>8.6999999999999993</v>
      </c>
      <c r="I583">
        <v>50</v>
      </c>
      <c r="K583" s="14">
        <v>44056</v>
      </c>
      <c r="L583" s="15">
        <v>0.8222222222222223</v>
      </c>
      <c r="M583" s="13" t="s">
        <v>8</v>
      </c>
      <c r="N583" s="13">
        <v>0.1</v>
      </c>
      <c r="O583" s="13">
        <v>30</v>
      </c>
      <c r="Q583" s="18">
        <v>43841</v>
      </c>
      <c r="R583" s="19">
        <v>0.79583333333333339</v>
      </c>
      <c r="S583" s="17" t="s">
        <v>10</v>
      </c>
      <c r="T583" s="17">
        <v>0.27</v>
      </c>
      <c r="U583" s="17">
        <v>50</v>
      </c>
    </row>
    <row r="584" spans="5:21" x14ac:dyDescent="0.25">
      <c r="E584" s="10">
        <v>43840</v>
      </c>
      <c r="F584" s="11">
        <v>0.73749999999999993</v>
      </c>
      <c r="G584" t="s">
        <v>17</v>
      </c>
      <c r="H584">
        <v>6.98</v>
      </c>
      <c r="I584">
        <v>75</v>
      </c>
      <c r="K584" s="14">
        <v>44057</v>
      </c>
      <c r="L584" s="15">
        <v>0.77222222222222225</v>
      </c>
      <c r="M584" s="13" t="s">
        <v>8</v>
      </c>
      <c r="N584" s="13">
        <v>0.39</v>
      </c>
      <c r="O584" s="13">
        <v>65</v>
      </c>
      <c r="Q584" s="18">
        <v>43929</v>
      </c>
      <c r="R584" s="19">
        <v>0.86597222222222225</v>
      </c>
      <c r="S584" s="17" t="s">
        <v>11</v>
      </c>
      <c r="T584" s="17">
        <v>19.2</v>
      </c>
      <c r="U584" s="17">
        <v>400</v>
      </c>
    </row>
    <row r="585" spans="5:21" x14ac:dyDescent="0.25">
      <c r="E585" s="10">
        <v>43840</v>
      </c>
      <c r="F585" s="11">
        <v>0.63888888888888895</v>
      </c>
      <c r="G585" t="s">
        <v>17</v>
      </c>
      <c r="H585">
        <v>1.57</v>
      </c>
      <c r="I585">
        <v>100</v>
      </c>
      <c r="K585" s="14">
        <v>44057</v>
      </c>
      <c r="L585" s="15">
        <v>0.74236111111111114</v>
      </c>
      <c r="M585" s="13" t="s">
        <v>8</v>
      </c>
      <c r="N585" s="13">
        <v>0.28000000000000003</v>
      </c>
      <c r="O585" s="13">
        <v>75</v>
      </c>
      <c r="Q585" s="18">
        <v>43866</v>
      </c>
      <c r="R585" s="19">
        <v>0.6645833333333333</v>
      </c>
      <c r="S585" s="17" t="s">
        <v>24</v>
      </c>
      <c r="T585" s="17">
        <v>18.73</v>
      </c>
      <c r="U585" s="17">
        <v>900</v>
      </c>
    </row>
    <row r="586" spans="5:21" x14ac:dyDescent="0.25">
      <c r="E586" s="10">
        <v>43841</v>
      </c>
      <c r="F586" s="11">
        <v>7.3611111111111113E-2</v>
      </c>
      <c r="G586" t="s">
        <v>17</v>
      </c>
      <c r="H586">
        <v>9.1300000000000008</v>
      </c>
      <c r="I586">
        <v>300</v>
      </c>
      <c r="K586" s="14">
        <v>44057</v>
      </c>
      <c r="L586" s="15">
        <v>0.6645833333333333</v>
      </c>
      <c r="M586" s="13" t="s">
        <v>8</v>
      </c>
      <c r="N586" s="13">
        <v>1.08</v>
      </c>
      <c r="O586" s="13">
        <v>125</v>
      </c>
      <c r="Q586" s="18">
        <v>43967</v>
      </c>
      <c r="R586" s="19">
        <v>0.69166666666666676</v>
      </c>
      <c r="S586" s="17" t="s">
        <v>29</v>
      </c>
      <c r="T586" s="17">
        <v>0.09</v>
      </c>
      <c r="U586" s="17">
        <v>20</v>
      </c>
    </row>
    <row r="587" spans="5:21" x14ac:dyDescent="0.25">
      <c r="E587" s="10">
        <v>43841</v>
      </c>
      <c r="F587" s="11">
        <v>3.6111111111111115E-2</v>
      </c>
      <c r="G587" t="s">
        <v>17</v>
      </c>
      <c r="H587">
        <v>0.2</v>
      </c>
      <c r="I587">
        <v>45</v>
      </c>
      <c r="K587" s="14">
        <v>44057</v>
      </c>
      <c r="L587" s="15">
        <v>0.7583333333333333</v>
      </c>
      <c r="M587" s="13" t="s">
        <v>8</v>
      </c>
      <c r="N587" s="13">
        <v>2</v>
      </c>
      <c r="O587" s="13">
        <v>100</v>
      </c>
      <c r="Q587" s="18">
        <v>44046</v>
      </c>
      <c r="R587" s="19">
        <v>0.76041666666666663</v>
      </c>
      <c r="S587" s="17" t="s">
        <v>14</v>
      </c>
      <c r="T587" s="17">
        <v>0.27</v>
      </c>
      <c r="U587" s="17">
        <v>25</v>
      </c>
    </row>
    <row r="588" spans="5:21" x14ac:dyDescent="0.25">
      <c r="E588" s="10">
        <v>43892</v>
      </c>
      <c r="F588" s="11">
        <v>0.92708333333333337</v>
      </c>
      <c r="G588" t="s">
        <v>17</v>
      </c>
      <c r="H588">
        <v>3.06</v>
      </c>
      <c r="I588">
        <v>50</v>
      </c>
      <c r="K588" s="14">
        <v>44057</v>
      </c>
      <c r="L588" s="15">
        <v>0.60902777777777783</v>
      </c>
      <c r="M588" s="13" t="s">
        <v>8</v>
      </c>
      <c r="N588" s="13">
        <v>4</v>
      </c>
      <c r="O588" s="13">
        <v>50</v>
      </c>
      <c r="Q588" s="18">
        <v>44002</v>
      </c>
      <c r="R588" s="19">
        <v>0.68402777777777779</v>
      </c>
      <c r="S588" s="17" t="s">
        <v>31</v>
      </c>
      <c r="T588" s="17">
        <v>0.27</v>
      </c>
      <c r="U588" s="17">
        <v>30</v>
      </c>
    </row>
    <row r="589" spans="5:21" x14ac:dyDescent="0.25">
      <c r="E589" s="10">
        <v>43902</v>
      </c>
      <c r="F589" s="11">
        <v>0.68055555555555547</v>
      </c>
      <c r="G589" t="s">
        <v>17</v>
      </c>
      <c r="H589">
        <v>0.6</v>
      </c>
      <c r="I589">
        <v>100</v>
      </c>
      <c r="K589" s="14">
        <v>44057</v>
      </c>
      <c r="L589" s="15">
        <v>0.61249999999999993</v>
      </c>
      <c r="M589" s="13" t="s">
        <v>8</v>
      </c>
      <c r="N589" s="13">
        <v>13.4</v>
      </c>
      <c r="O589" s="13">
        <v>150</v>
      </c>
      <c r="Q589" s="18">
        <v>44071</v>
      </c>
      <c r="R589" s="19">
        <v>0.68541666666666667</v>
      </c>
      <c r="S589" s="17" t="s">
        <v>20</v>
      </c>
      <c r="T589" s="17">
        <v>5.56</v>
      </c>
      <c r="U589" s="17">
        <v>115</v>
      </c>
    </row>
    <row r="590" spans="5:21" x14ac:dyDescent="0.25">
      <c r="E590" s="10">
        <v>43902</v>
      </c>
      <c r="F590" s="11">
        <v>0.67847222222222225</v>
      </c>
      <c r="G590" t="s">
        <v>17</v>
      </c>
      <c r="H590">
        <v>0.42</v>
      </c>
      <c r="I590">
        <v>75</v>
      </c>
      <c r="K590" s="14">
        <v>44057</v>
      </c>
      <c r="L590" s="15">
        <v>0.7006944444444444</v>
      </c>
      <c r="M590" s="13" t="s">
        <v>8</v>
      </c>
      <c r="N590" s="13">
        <v>3.5</v>
      </c>
      <c r="O590" s="13">
        <v>50</v>
      </c>
      <c r="Q590" s="18">
        <v>44091</v>
      </c>
      <c r="R590" s="19">
        <v>0.47152777777777777</v>
      </c>
      <c r="S590" s="17" t="s">
        <v>10</v>
      </c>
      <c r="T590" s="17">
        <v>6.26</v>
      </c>
      <c r="U590" s="17">
        <v>25</v>
      </c>
    </row>
    <row r="591" spans="5:21" x14ac:dyDescent="0.25">
      <c r="E591" s="10">
        <v>43945</v>
      </c>
      <c r="F591" s="11">
        <v>0.54722222222222217</v>
      </c>
      <c r="G591" t="s">
        <v>17</v>
      </c>
      <c r="H591">
        <v>0.02</v>
      </c>
      <c r="I591">
        <v>50</v>
      </c>
      <c r="K591" s="14">
        <v>44057</v>
      </c>
      <c r="L591" s="15">
        <v>0.70138888888888884</v>
      </c>
      <c r="M591" s="13" t="s">
        <v>8</v>
      </c>
      <c r="N591" s="13">
        <v>2.44</v>
      </c>
      <c r="O591" s="13">
        <v>250</v>
      </c>
      <c r="Q591" s="18">
        <v>44114</v>
      </c>
      <c r="R591" s="19">
        <v>0.23611111111111113</v>
      </c>
      <c r="S591" s="17" t="s">
        <v>46</v>
      </c>
      <c r="T591" s="17">
        <v>0.5</v>
      </c>
      <c r="U591" s="17">
        <v>30</v>
      </c>
    </row>
    <row r="592" spans="5:21" x14ac:dyDescent="0.25">
      <c r="E592" s="10">
        <v>43954</v>
      </c>
      <c r="F592" s="11">
        <v>0.53888888888888886</v>
      </c>
      <c r="G592" t="s">
        <v>17</v>
      </c>
      <c r="H592">
        <v>5.84</v>
      </c>
      <c r="I592">
        <v>150</v>
      </c>
      <c r="K592" s="14">
        <v>44057</v>
      </c>
      <c r="L592" s="15">
        <v>0.69791666666666663</v>
      </c>
      <c r="M592" s="13" t="s">
        <v>8</v>
      </c>
      <c r="N592" s="13">
        <v>7.31</v>
      </c>
      <c r="O592" s="13">
        <v>85</v>
      </c>
      <c r="Q592" s="18">
        <v>44044</v>
      </c>
      <c r="R592" s="19">
        <v>0.68402777777777779</v>
      </c>
      <c r="S592" s="17" t="s">
        <v>35</v>
      </c>
      <c r="T592" s="17">
        <v>1.2</v>
      </c>
      <c r="U592" s="17">
        <v>75</v>
      </c>
    </row>
    <row r="593" spans="5:21" x14ac:dyDescent="0.25">
      <c r="E593" s="10">
        <v>43955</v>
      </c>
      <c r="F593" s="11">
        <v>0.64097222222222217</v>
      </c>
      <c r="G593" t="s">
        <v>17</v>
      </c>
      <c r="H593">
        <v>4.04</v>
      </c>
      <c r="I593">
        <v>50</v>
      </c>
      <c r="K593" s="14">
        <v>44057</v>
      </c>
      <c r="L593" s="15">
        <v>0.71458333333333324</v>
      </c>
      <c r="M593" s="13" t="s">
        <v>8</v>
      </c>
      <c r="N593" s="13">
        <v>2.94</v>
      </c>
      <c r="O593" s="13">
        <v>150</v>
      </c>
      <c r="Q593" s="18">
        <v>43841</v>
      </c>
      <c r="R593" s="19">
        <v>0.11458333333333333</v>
      </c>
      <c r="S593" s="17" t="s">
        <v>29</v>
      </c>
      <c r="T593" s="17">
        <v>4.45</v>
      </c>
      <c r="U593" s="17">
        <v>650</v>
      </c>
    </row>
    <row r="594" spans="5:21" x14ac:dyDescent="0.25">
      <c r="E594" s="10">
        <v>43976</v>
      </c>
      <c r="F594" s="11">
        <v>0.5625</v>
      </c>
      <c r="G594" t="s">
        <v>17</v>
      </c>
      <c r="H594">
        <v>0.01</v>
      </c>
      <c r="I594">
        <v>20</v>
      </c>
      <c r="K594" s="14">
        <v>44057</v>
      </c>
      <c r="L594" s="15">
        <v>0.69236111111111109</v>
      </c>
      <c r="M594" s="13" t="s">
        <v>8</v>
      </c>
      <c r="N594" s="13">
        <v>6.59</v>
      </c>
      <c r="O594" s="13">
        <v>50</v>
      </c>
      <c r="Q594" s="18">
        <v>43866</v>
      </c>
      <c r="R594" s="19">
        <v>0.62291666666666667</v>
      </c>
      <c r="S594" s="17" t="s">
        <v>24</v>
      </c>
      <c r="T594" s="17">
        <v>6.17</v>
      </c>
      <c r="U594" s="17">
        <v>150</v>
      </c>
    </row>
    <row r="595" spans="5:21" x14ac:dyDescent="0.25">
      <c r="E595" s="10">
        <v>43986</v>
      </c>
      <c r="F595" s="11">
        <v>5.5555555555555552E-2</v>
      </c>
      <c r="G595" t="s">
        <v>17</v>
      </c>
      <c r="H595">
        <v>5.69</v>
      </c>
      <c r="I595">
        <v>40</v>
      </c>
      <c r="K595" s="14">
        <v>44057</v>
      </c>
      <c r="L595" s="15">
        <v>0.61041666666666672</v>
      </c>
      <c r="M595" s="13" t="s">
        <v>8</v>
      </c>
      <c r="N595" s="13">
        <v>1</v>
      </c>
      <c r="O595" s="13">
        <v>40</v>
      </c>
      <c r="Q595" s="18">
        <v>44052</v>
      </c>
      <c r="R595" s="19">
        <v>0.54305555555555551</v>
      </c>
      <c r="S595" s="17" t="s">
        <v>31</v>
      </c>
      <c r="T595" s="17">
        <v>0.87</v>
      </c>
      <c r="U595" s="17">
        <v>100</v>
      </c>
    </row>
    <row r="596" spans="5:21" x14ac:dyDescent="0.25">
      <c r="E596" s="10">
        <v>43986</v>
      </c>
      <c r="F596" s="11">
        <v>8.0555555555555561E-2</v>
      </c>
      <c r="G596" t="s">
        <v>17</v>
      </c>
      <c r="H596">
        <v>1.78</v>
      </c>
      <c r="I596">
        <v>40</v>
      </c>
      <c r="K596" s="14">
        <v>44057</v>
      </c>
      <c r="L596" s="15">
        <v>0.7270833333333333</v>
      </c>
      <c r="M596" s="13" t="s">
        <v>8</v>
      </c>
      <c r="N596" s="13">
        <v>0.95</v>
      </c>
      <c r="O596" s="13">
        <v>25</v>
      </c>
      <c r="Q596" s="18">
        <v>43919</v>
      </c>
      <c r="R596" s="19">
        <v>6.1805555555555558E-2</v>
      </c>
      <c r="S596" s="17" t="s">
        <v>21</v>
      </c>
      <c r="T596" s="17">
        <v>6.9</v>
      </c>
      <c r="U596" s="17">
        <v>75</v>
      </c>
    </row>
    <row r="597" spans="5:21" x14ac:dyDescent="0.25">
      <c r="E597" s="10">
        <v>43991</v>
      </c>
      <c r="F597" s="11">
        <v>0.79375000000000007</v>
      </c>
      <c r="G597" t="s">
        <v>17</v>
      </c>
      <c r="H597">
        <v>0.01</v>
      </c>
      <c r="I597">
        <v>25</v>
      </c>
      <c r="K597" s="14">
        <v>44057</v>
      </c>
      <c r="L597" s="15">
        <v>0.78819444444444453</v>
      </c>
      <c r="M597" s="13" t="s">
        <v>8</v>
      </c>
      <c r="N597" s="13">
        <v>0.4</v>
      </c>
      <c r="O597" s="13">
        <v>50</v>
      </c>
      <c r="Q597" s="18">
        <v>43934</v>
      </c>
      <c r="R597" s="19">
        <v>0.17013888888888887</v>
      </c>
      <c r="S597" s="17" t="s">
        <v>10</v>
      </c>
      <c r="T597" s="17">
        <v>0.91</v>
      </c>
      <c r="U597" s="17">
        <v>200</v>
      </c>
    </row>
    <row r="598" spans="5:21" x14ac:dyDescent="0.25">
      <c r="E598" s="10">
        <v>44009</v>
      </c>
      <c r="F598" s="11">
        <v>0.6958333333333333</v>
      </c>
      <c r="G598" t="s">
        <v>17</v>
      </c>
      <c r="H598">
        <v>0.76</v>
      </c>
      <c r="I598">
        <v>100</v>
      </c>
      <c r="K598" s="14">
        <v>44057</v>
      </c>
      <c r="L598" s="15">
        <v>0.65625</v>
      </c>
      <c r="M598" s="13" t="s">
        <v>8</v>
      </c>
      <c r="N598" s="13">
        <v>0.61</v>
      </c>
      <c r="O598" s="13">
        <v>50</v>
      </c>
      <c r="Q598" s="18">
        <v>43977</v>
      </c>
      <c r="R598" s="19">
        <v>0.63611111111111118</v>
      </c>
      <c r="S598" s="17" t="s">
        <v>23</v>
      </c>
      <c r="T598" s="17">
        <v>0.66</v>
      </c>
      <c r="U598" s="17">
        <v>20</v>
      </c>
    </row>
    <row r="599" spans="5:21" x14ac:dyDescent="0.25">
      <c r="E599" s="10">
        <v>44009</v>
      </c>
      <c r="F599" s="11">
        <v>0.84305555555555556</v>
      </c>
      <c r="G599" t="s">
        <v>17</v>
      </c>
      <c r="H599">
        <v>0.74</v>
      </c>
      <c r="I599">
        <v>125</v>
      </c>
      <c r="K599" s="14">
        <v>44057</v>
      </c>
      <c r="L599" s="15">
        <v>0.61805555555555558</v>
      </c>
      <c r="M599" s="13" t="s">
        <v>8</v>
      </c>
      <c r="N599" s="13">
        <v>1.71</v>
      </c>
      <c r="O599" s="13">
        <v>150</v>
      </c>
      <c r="Q599" s="18">
        <v>43999</v>
      </c>
      <c r="R599" s="19">
        <v>0.8256944444444444</v>
      </c>
      <c r="S599" s="17" t="s">
        <v>8</v>
      </c>
      <c r="T599" s="17">
        <v>3.8</v>
      </c>
      <c r="U599" s="17">
        <v>400</v>
      </c>
    </row>
    <row r="600" spans="5:21" x14ac:dyDescent="0.25">
      <c r="E600" s="10">
        <v>44041</v>
      </c>
      <c r="F600" s="11">
        <v>0.53125</v>
      </c>
      <c r="G600" t="s">
        <v>17</v>
      </c>
      <c r="H600">
        <v>0.27</v>
      </c>
      <c r="I600">
        <v>20</v>
      </c>
      <c r="K600" s="14">
        <v>44057</v>
      </c>
      <c r="L600" s="15">
        <v>0.69513888888888886</v>
      </c>
      <c r="M600" s="13" t="s">
        <v>8</v>
      </c>
      <c r="N600" s="13">
        <v>5.65</v>
      </c>
      <c r="O600" s="13">
        <v>200</v>
      </c>
      <c r="Q600" s="18">
        <v>44047</v>
      </c>
      <c r="R600" s="19">
        <v>3.4027777777777775E-2</v>
      </c>
      <c r="S600" s="17" t="s">
        <v>35</v>
      </c>
      <c r="T600" s="17">
        <v>15.9</v>
      </c>
      <c r="U600" s="17">
        <v>200</v>
      </c>
    </row>
    <row r="601" spans="5:21" x14ac:dyDescent="0.25">
      <c r="E601" s="10">
        <v>44075</v>
      </c>
      <c r="F601" s="11">
        <v>0.63472222222222219</v>
      </c>
      <c r="G601" t="s">
        <v>17</v>
      </c>
      <c r="H601">
        <v>2.1</v>
      </c>
      <c r="I601">
        <v>50</v>
      </c>
      <c r="K601" s="14">
        <v>44057</v>
      </c>
      <c r="L601" s="15">
        <v>0.69930555555555562</v>
      </c>
      <c r="M601" s="13" t="s">
        <v>8</v>
      </c>
      <c r="N601" s="13">
        <v>1.31</v>
      </c>
      <c r="O601" s="13">
        <v>65</v>
      </c>
      <c r="Q601" s="18">
        <v>44090</v>
      </c>
      <c r="R601" s="19">
        <v>0.73125000000000007</v>
      </c>
      <c r="S601" s="17" t="s">
        <v>9</v>
      </c>
      <c r="T601" s="17">
        <v>0.16</v>
      </c>
      <c r="U601" s="17">
        <v>200</v>
      </c>
    </row>
    <row r="602" spans="5:21" x14ac:dyDescent="0.25">
      <c r="E602" s="10">
        <v>43841</v>
      </c>
      <c r="F602" s="11">
        <v>0.15833333333333333</v>
      </c>
      <c r="G602" t="s">
        <v>24</v>
      </c>
      <c r="H602">
        <v>23.38</v>
      </c>
      <c r="I602">
        <v>1800</v>
      </c>
      <c r="K602" s="14">
        <v>44057</v>
      </c>
      <c r="L602" s="15">
        <v>0.64861111111111114</v>
      </c>
      <c r="M602" s="13" t="s">
        <v>8</v>
      </c>
      <c r="N602" s="13">
        <v>0.03</v>
      </c>
      <c r="O602" s="13">
        <v>10</v>
      </c>
      <c r="Q602" s="18">
        <v>43943</v>
      </c>
      <c r="R602" s="19">
        <v>0.86249999999999993</v>
      </c>
      <c r="S602" s="17" t="s">
        <v>26</v>
      </c>
      <c r="T602" s="17">
        <v>5.36</v>
      </c>
      <c r="U602" s="17">
        <v>200</v>
      </c>
    </row>
    <row r="603" spans="5:21" x14ac:dyDescent="0.25">
      <c r="E603" s="10">
        <v>43841</v>
      </c>
      <c r="F603" s="11">
        <v>0.19583333333333333</v>
      </c>
      <c r="G603" t="s">
        <v>24</v>
      </c>
      <c r="H603">
        <v>11.27</v>
      </c>
      <c r="I603">
        <v>200</v>
      </c>
      <c r="K603" s="14">
        <v>44057</v>
      </c>
      <c r="L603" s="15">
        <v>0.66180555555555554</v>
      </c>
      <c r="M603" s="13" t="s">
        <v>8</v>
      </c>
      <c r="N603" s="13">
        <v>5.91</v>
      </c>
      <c r="O603" s="13">
        <v>200</v>
      </c>
      <c r="Q603" s="18">
        <v>44047</v>
      </c>
      <c r="R603" s="19">
        <v>0.36805555555555558</v>
      </c>
      <c r="S603" s="17" t="s">
        <v>34</v>
      </c>
      <c r="T603" s="17">
        <v>20.77</v>
      </c>
      <c r="U603" s="17">
        <v>500</v>
      </c>
    </row>
    <row r="604" spans="5:21" x14ac:dyDescent="0.25">
      <c r="E604" s="10">
        <v>43841</v>
      </c>
      <c r="F604" s="11">
        <v>0.28888888888888892</v>
      </c>
      <c r="G604" t="s">
        <v>24</v>
      </c>
      <c r="H604">
        <v>8.2200000000000006</v>
      </c>
      <c r="I604">
        <v>150</v>
      </c>
      <c r="K604" s="14">
        <v>44057</v>
      </c>
      <c r="L604" s="15">
        <v>0.75694444444444453</v>
      </c>
      <c r="M604" s="13" t="s">
        <v>8</v>
      </c>
      <c r="N604" s="13">
        <v>2.7</v>
      </c>
      <c r="O604" s="13">
        <v>150</v>
      </c>
      <c r="Q604" s="18">
        <v>44114</v>
      </c>
      <c r="R604" s="19">
        <v>0.63472222222222219</v>
      </c>
      <c r="S604" s="17" t="s">
        <v>20</v>
      </c>
      <c r="T604" s="17">
        <v>0.67</v>
      </c>
      <c r="U604" s="17">
        <v>125</v>
      </c>
    </row>
    <row r="605" spans="5:21" x14ac:dyDescent="0.25">
      <c r="E605" s="10">
        <v>43841</v>
      </c>
      <c r="F605" s="11">
        <v>0.20347222222222219</v>
      </c>
      <c r="G605" t="s">
        <v>24</v>
      </c>
      <c r="H605">
        <v>8.2100000000000009</v>
      </c>
      <c r="I605">
        <v>300</v>
      </c>
      <c r="K605" s="14">
        <v>44057</v>
      </c>
      <c r="L605" s="15">
        <v>0.60972222222222217</v>
      </c>
      <c r="M605" s="13" t="s">
        <v>8</v>
      </c>
      <c r="N605" s="13">
        <v>0.4</v>
      </c>
      <c r="O605" s="13">
        <v>30</v>
      </c>
      <c r="Q605" s="18">
        <v>44047</v>
      </c>
      <c r="R605" s="19">
        <v>0.28819444444444448</v>
      </c>
      <c r="S605" s="17" t="s">
        <v>40</v>
      </c>
      <c r="T605" s="17">
        <v>35.78</v>
      </c>
      <c r="U605" s="17">
        <v>500</v>
      </c>
    </row>
    <row r="606" spans="5:21" x14ac:dyDescent="0.25">
      <c r="E606" s="10">
        <v>43841</v>
      </c>
      <c r="F606" s="11">
        <v>0.21111111111111111</v>
      </c>
      <c r="G606" t="s">
        <v>24</v>
      </c>
      <c r="H606">
        <v>7.25</v>
      </c>
      <c r="I606">
        <v>150</v>
      </c>
      <c r="K606" s="14">
        <v>44057</v>
      </c>
      <c r="L606" s="15">
        <v>0.74791666666666667</v>
      </c>
      <c r="M606" s="13" t="s">
        <v>8</v>
      </c>
      <c r="N606" s="13">
        <v>1.5</v>
      </c>
      <c r="O606" s="13">
        <v>100</v>
      </c>
      <c r="Q606" s="18">
        <v>43866</v>
      </c>
      <c r="R606" s="19">
        <v>0.74652777777777779</v>
      </c>
      <c r="S606" s="17" t="s">
        <v>21</v>
      </c>
      <c r="T606" s="17">
        <v>10.050000000000001</v>
      </c>
      <c r="U606" s="17">
        <v>300</v>
      </c>
    </row>
    <row r="607" spans="5:21" x14ac:dyDescent="0.25">
      <c r="E607" s="10">
        <v>43841</v>
      </c>
      <c r="F607" s="11">
        <v>0.28125</v>
      </c>
      <c r="G607" t="s">
        <v>24</v>
      </c>
      <c r="H607">
        <v>7.23</v>
      </c>
      <c r="I607">
        <v>100</v>
      </c>
      <c r="K607" s="14">
        <v>44057</v>
      </c>
      <c r="L607" s="15">
        <v>0.6972222222222223</v>
      </c>
      <c r="M607" s="13" t="s">
        <v>8</v>
      </c>
      <c r="N607" s="13">
        <v>2.16</v>
      </c>
      <c r="O607" s="13">
        <v>300</v>
      </c>
      <c r="Q607" s="18">
        <v>44053</v>
      </c>
      <c r="R607" s="19">
        <v>0.57430555555555551</v>
      </c>
      <c r="S607" s="17" t="s">
        <v>15</v>
      </c>
      <c r="T607" s="17">
        <v>9.18</v>
      </c>
      <c r="U607" s="17">
        <v>300</v>
      </c>
    </row>
    <row r="608" spans="5:21" x14ac:dyDescent="0.25">
      <c r="E608" s="10">
        <v>43841</v>
      </c>
      <c r="F608" s="11">
        <v>0.15555555555555556</v>
      </c>
      <c r="G608" t="s">
        <v>24</v>
      </c>
      <c r="H608">
        <v>6.43</v>
      </c>
      <c r="I608">
        <v>850</v>
      </c>
      <c r="K608" s="14">
        <v>44057</v>
      </c>
      <c r="L608" s="15">
        <v>0.63680555555555551</v>
      </c>
      <c r="M608" s="13" t="s">
        <v>8</v>
      </c>
      <c r="N608" s="13">
        <v>1.2</v>
      </c>
      <c r="O608" s="13">
        <v>75</v>
      </c>
      <c r="Q608" s="18">
        <v>43977</v>
      </c>
      <c r="R608" s="19">
        <v>0.60972222222222217</v>
      </c>
      <c r="S608" s="17" t="s">
        <v>23</v>
      </c>
      <c r="T608" s="17">
        <v>5.14</v>
      </c>
      <c r="U608" s="17">
        <v>250</v>
      </c>
    </row>
    <row r="609" spans="5:21" x14ac:dyDescent="0.25">
      <c r="E609" s="10">
        <v>43841</v>
      </c>
      <c r="F609" s="11">
        <v>0.22291666666666665</v>
      </c>
      <c r="G609" t="s">
        <v>24</v>
      </c>
      <c r="H609">
        <v>5.85</v>
      </c>
      <c r="I609">
        <v>70</v>
      </c>
      <c r="K609" s="14">
        <v>44052</v>
      </c>
      <c r="L609" s="15">
        <v>0.87222222222222223</v>
      </c>
      <c r="M609" s="13" t="s">
        <v>13</v>
      </c>
      <c r="N609" s="13">
        <v>3.8</v>
      </c>
      <c r="O609" s="13">
        <v>250</v>
      </c>
      <c r="Q609" s="18">
        <v>44047</v>
      </c>
      <c r="R609" s="19">
        <v>0.73541666666666661</v>
      </c>
      <c r="S609" s="17" t="s">
        <v>16</v>
      </c>
      <c r="T609" s="17">
        <v>0.02</v>
      </c>
      <c r="U609" s="17">
        <v>10</v>
      </c>
    </row>
    <row r="610" spans="5:21" x14ac:dyDescent="0.25">
      <c r="E610" s="10">
        <v>43841</v>
      </c>
      <c r="F610" s="11">
        <v>0.29722222222222222</v>
      </c>
      <c r="G610" t="s">
        <v>24</v>
      </c>
      <c r="H610">
        <v>5.71</v>
      </c>
      <c r="I610">
        <v>120</v>
      </c>
      <c r="K610" s="14">
        <v>44052</v>
      </c>
      <c r="L610" s="15">
        <v>0.84722222222222221</v>
      </c>
      <c r="M610" s="13" t="s">
        <v>13</v>
      </c>
      <c r="N610" s="13">
        <v>1.03</v>
      </c>
      <c r="O610" s="13">
        <v>250</v>
      </c>
      <c r="Q610" s="18">
        <v>43979</v>
      </c>
      <c r="R610" s="19">
        <v>0.70138888888888884</v>
      </c>
      <c r="S610" s="17" t="s">
        <v>15</v>
      </c>
      <c r="T610" s="17">
        <v>2.88</v>
      </c>
      <c r="U610" s="17">
        <v>100</v>
      </c>
    </row>
    <row r="611" spans="5:21" x14ac:dyDescent="0.25">
      <c r="E611" s="10">
        <v>43841</v>
      </c>
      <c r="F611" s="11">
        <v>0.19791666666666666</v>
      </c>
      <c r="G611" t="s">
        <v>24</v>
      </c>
      <c r="H611">
        <v>5.67</v>
      </c>
      <c r="I611">
        <v>150</v>
      </c>
      <c r="K611" s="14">
        <v>44074</v>
      </c>
      <c r="L611" s="15">
        <v>0.64583333333333337</v>
      </c>
      <c r="M611" s="13" t="s">
        <v>13</v>
      </c>
      <c r="N611" s="13">
        <v>0.61</v>
      </c>
      <c r="O611" s="13">
        <v>200</v>
      </c>
      <c r="Q611" s="18">
        <v>43979</v>
      </c>
      <c r="R611" s="19">
        <v>0.74722222222222223</v>
      </c>
      <c r="S611" s="17" t="s">
        <v>33</v>
      </c>
      <c r="T611" s="17">
        <v>0.1</v>
      </c>
      <c r="U611" s="17">
        <v>50</v>
      </c>
    </row>
    <row r="612" spans="5:21" x14ac:dyDescent="0.25">
      <c r="E612" s="10">
        <v>43841</v>
      </c>
      <c r="F612" s="11">
        <v>0.17916666666666667</v>
      </c>
      <c r="G612" t="s">
        <v>24</v>
      </c>
      <c r="H612">
        <v>5.54</v>
      </c>
      <c r="I612">
        <v>1700</v>
      </c>
      <c r="K612" s="14">
        <v>44023</v>
      </c>
      <c r="L612" s="15">
        <v>0.56319444444444444</v>
      </c>
      <c r="M612" s="13" t="s">
        <v>43</v>
      </c>
      <c r="N612" s="13">
        <v>4.8600000000000003</v>
      </c>
      <c r="O612" s="13">
        <v>100</v>
      </c>
      <c r="Q612" s="18">
        <v>44057</v>
      </c>
      <c r="R612" s="19">
        <v>0.69027777777777777</v>
      </c>
      <c r="S612" s="17" t="s">
        <v>28</v>
      </c>
      <c r="T612" s="17">
        <v>0.75</v>
      </c>
      <c r="U612" s="17">
        <v>35</v>
      </c>
    </row>
    <row r="613" spans="5:21" x14ac:dyDescent="0.25">
      <c r="E613" s="10">
        <v>43841</v>
      </c>
      <c r="F613" s="11">
        <v>0.17986111111111111</v>
      </c>
      <c r="G613" t="s">
        <v>24</v>
      </c>
      <c r="H613">
        <v>5.43</v>
      </c>
      <c r="I613">
        <v>850</v>
      </c>
      <c r="K613" s="14">
        <v>43868</v>
      </c>
      <c r="L613" s="15">
        <v>0.29375000000000001</v>
      </c>
      <c r="M613" s="13" t="s">
        <v>18</v>
      </c>
      <c r="N613" s="13">
        <v>10.31</v>
      </c>
      <c r="O613" s="13">
        <v>100</v>
      </c>
      <c r="Q613" s="18">
        <v>44189</v>
      </c>
      <c r="R613" s="19">
        <v>0.74583333333333324</v>
      </c>
      <c r="S613" s="17" t="s">
        <v>19</v>
      </c>
      <c r="T613" s="17">
        <v>0.6</v>
      </c>
      <c r="U613" s="17">
        <v>100</v>
      </c>
    </row>
    <row r="614" spans="5:21" x14ac:dyDescent="0.25">
      <c r="E614" s="10">
        <v>43841</v>
      </c>
      <c r="F614" s="11">
        <v>0.16805555555555554</v>
      </c>
      <c r="G614" t="s">
        <v>24</v>
      </c>
      <c r="H614">
        <v>4.18</v>
      </c>
      <c r="I614">
        <v>880</v>
      </c>
      <c r="K614" s="14">
        <v>43868</v>
      </c>
      <c r="L614" s="15">
        <v>0.36041666666666666</v>
      </c>
      <c r="M614" s="13" t="s">
        <v>18</v>
      </c>
      <c r="N614" s="13">
        <v>1.06</v>
      </c>
      <c r="O614" s="13">
        <v>200</v>
      </c>
      <c r="Q614" s="18">
        <v>43933</v>
      </c>
      <c r="R614" s="19">
        <v>0.18263888888888891</v>
      </c>
      <c r="S614" s="17" t="s">
        <v>6</v>
      </c>
      <c r="T614" s="17">
        <v>6.96</v>
      </c>
      <c r="U614" s="17">
        <v>200</v>
      </c>
    </row>
    <row r="615" spans="5:21" x14ac:dyDescent="0.25">
      <c r="E615" s="10">
        <v>43841</v>
      </c>
      <c r="F615" s="11">
        <v>0.3979166666666667</v>
      </c>
      <c r="G615" t="s">
        <v>24</v>
      </c>
      <c r="H615">
        <v>2.96</v>
      </c>
      <c r="I615">
        <v>250</v>
      </c>
      <c r="K615" s="14">
        <v>43868</v>
      </c>
      <c r="L615" s="15">
        <v>0.27638888888888885</v>
      </c>
      <c r="M615" s="13" t="s">
        <v>18</v>
      </c>
      <c r="N615" s="13">
        <v>2.08</v>
      </c>
      <c r="O615" s="13">
        <v>75</v>
      </c>
      <c r="Q615" s="18">
        <v>44053</v>
      </c>
      <c r="R615" s="19">
        <v>0.58263888888888882</v>
      </c>
      <c r="S615" s="17" t="s">
        <v>15</v>
      </c>
      <c r="T615" s="17">
        <v>0.9</v>
      </c>
      <c r="U615" s="17">
        <v>150</v>
      </c>
    </row>
    <row r="616" spans="5:21" x14ac:dyDescent="0.25">
      <c r="E616" s="10">
        <v>43841</v>
      </c>
      <c r="F616" s="11">
        <v>0.17152777777777775</v>
      </c>
      <c r="G616" t="s">
        <v>24</v>
      </c>
      <c r="H616">
        <v>2.5499999999999998</v>
      </c>
      <c r="I616">
        <v>270</v>
      </c>
      <c r="K616" s="14">
        <v>43868</v>
      </c>
      <c r="L616" s="15">
        <v>0.28055555555555556</v>
      </c>
      <c r="M616" s="13" t="s">
        <v>18</v>
      </c>
      <c r="N616" s="13">
        <v>6.74</v>
      </c>
      <c r="O616" s="13">
        <v>150</v>
      </c>
      <c r="Q616" s="18">
        <v>43934</v>
      </c>
      <c r="R616" s="19">
        <v>0.56041666666666667</v>
      </c>
      <c r="S616" s="17" t="s">
        <v>18</v>
      </c>
      <c r="T616" s="17">
        <v>4.8499999999999996</v>
      </c>
      <c r="U616" s="17">
        <v>30</v>
      </c>
    </row>
    <row r="617" spans="5:21" x14ac:dyDescent="0.25">
      <c r="E617" s="10">
        <v>43841</v>
      </c>
      <c r="F617" s="11">
        <v>0.18472222222222223</v>
      </c>
      <c r="G617" t="s">
        <v>24</v>
      </c>
      <c r="H617">
        <v>2.2400000000000002</v>
      </c>
      <c r="I617">
        <v>100</v>
      </c>
      <c r="K617" s="14">
        <v>43868</v>
      </c>
      <c r="L617" s="15">
        <v>0.26944444444444443</v>
      </c>
      <c r="M617" s="13" t="s">
        <v>18</v>
      </c>
      <c r="N617" s="13">
        <v>1.1100000000000001</v>
      </c>
      <c r="O617" s="13">
        <v>150</v>
      </c>
      <c r="Q617" s="18">
        <v>43893</v>
      </c>
      <c r="R617" s="19">
        <v>0.1111111111111111</v>
      </c>
      <c r="S617" s="17" t="s">
        <v>21</v>
      </c>
      <c r="T617" s="17">
        <v>3.68</v>
      </c>
      <c r="U617" s="17">
        <v>200</v>
      </c>
    </row>
    <row r="618" spans="5:21" x14ac:dyDescent="0.25">
      <c r="E618" s="10">
        <v>43841</v>
      </c>
      <c r="F618" s="11">
        <v>0.3034722222222222</v>
      </c>
      <c r="G618" t="s">
        <v>24</v>
      </c>
      <c r="H618">
        <v>0.72</v>
      </c>
      <c r="I618">
        <v>80</v>
      </c>
      <c r="K618" s="14">
        <v>43934</v>
      </c>
      <c r="L618" s="15">
        <v>0.56041666666666667</v>
      </c>
      <c r="M618" s="13" t="s">
        <v>18</v>
      </c>
      <c r="N618" s="13">
        <v>4.8499999999999996</v>
      </c>
      <c r="O618" s="13">
        <v>30</v>
      </c>
      <c r="Q618" s="18">
        <v>43943</v>
      </c>
      <c r="R618" s="19">
        <v>0.76944444444444438</v>
      </c>
      <c r="S618" s="17" t="s">
        <v>6</v>
      </c>
      <c r="T618" s="17">
        <v>36.42</v>
      </c>
      <c r="U618" s="17">
        <v>600</v>
      </c>
    </row>
    <row r="619" spans="5:21" x14ac:dyDescent="0.25">
      <c r="E619" s="10">
        <v>43866</v>
      </c>
      <c r="F619" s="11">
        <v>0.95208333333333339</v>
      </c>
      <c r="G619" t="s">
        <v>24</v>
      </c>
      <c r="H619">
        <v>59.85</v>
      </c>
      <c r="I619">
        <v>1320</v>
      </c>
      <c r="K619" s="14">
        <v>43934</v>
      </c>
      <c r="L619" s="15">
        <v>0.4909722222222222</v>
      </c>
      <c r="M619" s="13" t="s">
        <v>18</v>
      </c>
      <c r="N619" s="13">
        <v>0.38</v>
      </c>
      <c r="O619" s="13">
        <v>75</v>
      </c>
      <c r="Q619" s="18">
        <v>43934</v>
      </c>
      <c r="R619" s="19">
        <v>0.4909722222222222</v>
      </c>
      <c r="S619" s="17" t="s">
        <v>18</v>
      </c>
      <c r="T619" s="17">
        <v>0.38</v>
      </c>
      <c r="U619" s="17">
        <v>75</v>
      </c>
    </row>
    <row r="620" spans="5:21" x14ac:dyDescent="0.25">
      <c r="E620" s="10">
        <v>43866</v>
      </c>
      <c r="F620" s="11">
        <v>0.6645833333333333</v>
      </c>
      <c r="G620" t="s">
        <v>24</v>
      </c>
      <c r="H620">
        <v>18.73</v>
      </c>
      <c r="I620">
        <v>900</v>
      </c>
      <c r="K620" s="14">
        <v>44047</v>
      </c>
      <c r="L620" s="15">
        <v>0.20277777777777781</v>
      </c>
      <c r="M620" s="13" t="s">
        <v>18</v>
      </c>
      <c r="N620" s="13">
        <v>0.82</v>
      </c>
      <c r="O620" s="13">
        <v>175</v>
      </c>
      <c r="Q620" s="18">
        <v>44091</v>
      </c>
      <c r="R620" s="19">
        <v>0.24861111111111112</v>
      </c>
      <c r="S620" s="17" t="s">
        <v>10</v>
      </c>
      <c r="T620" s="17">
        <v>6.9</v>
      </c>
      <c r="U620" s="17">
        <v>150</v>
      </c>
    </row>
    <row r="621" spans="5:21" x14ac:dyDescent="0.25">
      <c r="E621" s="10">
        <v>43866</v>
      </c>
      <c r="F621" s="11">
        <v>0.73125000000000007</v>
      </c>
      <c r="G621" t="s">
        <v>24</v>
      </c>
      <c r="H621">
        <v>9.1300000000000008</v>
      </c>
      <c r="I621">
        <v>250</v>
      </c>
      <c r="K621" s="14">
        <v>44047</v>
      </c>
      <c r="L621" s="15">
        <v>0.22361111111111109</v>
      </c>
      <c r="M621" s="13" t="s">
        <v>18</v>
      </c>
      <c r="N621" s="13">
        <v>2.7</v>
      </c>
      <c r="O621" s="13">
        <v>100</v>
      </c>
      <c r="Q621" s="18">
        <v>43934</v>
      </c>
      <c r="R621" s="19">
        <v>2.7777777777777776E-2</v>
      </c>
      <c r="S621" s="17" t="s">
        <v>9</v>
      </c>
      <c r="T621" s="17">
        <v>5.3</v>
      </c>
      <c r="U621" s="17">
        <v>300</v>
      </c>
    </row>
    <row r="622" spans="5:21" x14ac:dyDescent="0.25">
      <c r="E622" s="10">
        <v>43866</v>
      </c>
      <c r="F622" s="11">
        <v>0.64444444444444449</v>
      </c>
      <c r="G622" t="s">
        <v>24</v>
      </c>
      <c r="H622">
        <v>8.1199999999999992</v>
      </c>
      <c r="I622">
        <v>800</v>
      </c>
      <c r="K622" s="14">
        <v>44047</v>
      </c>
      <c r="L622" s="15">
        <v>0.24652777777777779</v>
      </c>
      <c r="M622" s="13" t="s">
        <v>18</v>
      </c>
      <c r="N622" s="13">
        <v>9.6300000000000008</v>
      </c>
      <c r="O622" s="13">
        <v>75</v>
      </c>
      <c r="Q622" s="18">
        <v>43934</v>
      </c>
      <c r="R622" s="19">
        <v>0.15</v>
      </c>
      <c r="S622" s="17" t="s">
        <v>9</v>
      </c>
      <c r="T622" s="17">
        <v>3.62</v>
      </c>
      <c r="U622" s="17">
        <v>100</v>
      </c>
    </row>
    <row r="623" spans="5:21" x14ac:dyDescent="0.25">
      <c r="E623" s="10">
        <v>43866</v>
      </c>
      <c r="F623" s="11">
        <v>0.62291666666666667</v>
      </c>
      <c r="G623" t="s">
        <v>24</v>
      </c>
      <c r="H623">
        <v>6.17</v>
      </c>
      <c r="I623">
        <v>150</v>
      </c>
      <c r="K623" s="14">
        <v>44047</v>
      </c>
      <c r="L623" s="15">
        <v>0.16319444444444445</v>
      </c>
      <c r="M623" s="13" t="s">
        <v>18</v>
      </c>
      <c r="N623" s="13">
        <v>1.3</v>
      </c>
      <c r="O623" s="13">
        <v>150</v>
      </c>
      <c r="Q623" s="18">
        <v>43841</v>
      </c>
      <c r="R623" s="19">
        <v>0.3</v>
      </c>
      <c r="S623" s="17" t="s">
        <v>11</v>
      </c>
      <c r="T623" s="17">
        <v>7.49</v>
      </c>
      <c r="U623" s="17">
        <v>175</v>
      </c>
    </row>
    <row r="624" spans="5:21" x14ac:dyDescent="0.25">
      <c r="E624" s="10">
        <v>43866</v>
      </c>
      <c r="F624" s="11">
        <v>0.70694444444444438</v>
      </c>
      <c r="G624" t="s">
        <v>24</v>
      </c>
      <c r="H624">
        <v>5.84</v>
      </c>
      <c r="I624">
        <v>800</v>
      </c>
      <c r="K624" s="14">
        <v>44047</v>
      </c>
      <c r="L624" s="15">
        <v>0.23263888888888887</v>
      </c>
      <c r="M624" s="13" t="s">
        <v>18</v>
      </c>
      <c r="N624" s="13">
        <v>8</v>
      </c>
      <c r="O624" s="13">
        <v>75</v>
      </c>
      <c r="Q624" s="18">
        <v>44053</v>
      </c>
      <c r="R624" s="19">
        <v>0.61458333333333337</v>
      </c>
      <c r="S624" s="17" t="s">
        <v>32</v>
      </c>
      <c r="T624" s="17">
        <v>4.5</v>
      </c>
      <c r="U624" s="17">
        <v>150</v>
      </c>
    </row>
    <row r="625" spans="5:21" x14ac:dyDescent="0.25">
      <c r="E625" s="10">
        <v>43866</v>
      </c>
      <c r="F625" s="11">
        <v>0.74305555555555547</v>
      </c>
      <c r="G625" t="s">
        <v>24</v>
      </c>
      <c r="H625">
        <v>4.91</v>
      </c>
      <c r="I625">
        <v>150</v>
      </c>
      <c r="K625" s="14">
        <v>44047</v>
      </c>
      <c r="L625" s="15">
        <v>0.18888888888888888</v>
      </c>
      <c r="M625" s="13" t="s">
        <v>18</v>
      </c>
      <c r="N625" s="13">
        <v>5.24</v>
      </c>
      <c r="O625" s="13">
        <v>100</v>
      </c>
      <c r="Q625" s="18">
        <v>44053</v>
      </c>
      <c r="R625" s="19">
        <v>0.6118055555555556</v>
      </c>
      <c r="S625" s="17" t="s">
        <v>15</v>
      </c>
      <c r="T625" s="17">
        <v>6.25</v>
      </c>
      <c r="U625" s="17">
        <v>150</v>
      </c>
    </row>
    <row r="626" spans="5:21" x14ac:dyDescent="0.25">
      <c r="E626" s="10">
        <v>43866</v>
      </c>
      <c r="F626" s="11">
        <v>0.63888888888888895</v>
      </c>
      <c r="G626" t="s">
        <v>24</v>
      </c>
      <c r="H626">
        <v>2.64</v>
      </c>
      <c r="I626">
        <v>440</v>
      </c>
      <c r="K626" s="14">
        <v>44047</v>
      </c>
      <c r="L626" s="15">
        <v>0.21805555555555556</v>
      </c>
      <c r="M626" s="13" t="s">
        <v>18</v>
      </c>
      <c r="N626" s="13">
        <v>3.8</v>
      </c>
      <c r="O626" s="13">
        <v>200</v>
      </c>
      <c r="Q626" s="18">
        <v>44020</v>
      </c>
      <c r="R626" s="19">
        <v>0.15138888888888888</v>
      </c>
      <c r="S626" s="17" t="s">
        <v>8</v>
      </c>
      <c r="T626" s="17">
        <v>18.690000000000001</v>
      </c>
      <c r="U626" s="17">
        <v>250</v>
      </c>
    </row>
    <row r="627" spans="5:21" x14ac:dyDescent="0.25">
      <c r="E627" s="10">
        <v>43866</v>
      </c>
      <c r="F627" s="11">
        <v>0.69861111111111107</v>
      </c>
      <c r="G627" t="s">
        <v>24</v>
      </c>
      <c r="H627">
        <v>1.66</v>
      </c>
      <c r="I627">
        <v>300</v>
      </c>
      <c r="K627" s="14">
        <v>44047</v>
      </c>
      <c r="L627" s="15">
        <v>0.26250000000000001</v>
      </c>
      <c r="M627" s="13" t="s">
        <v>18</v>
      </c>
      <c r="N627" s="13">
        <v>0.74</v>
      </c>
      <c r="O627" s="13">
        <v>35</v>
      </c>
      <c r="Q627" s="18">
        <v>44018</v>
      </c>
      <c r="R627" s="19">
        <v>0.78055555555555556</v>
      </c>
      <c r="S627" s="17" t="s">
        <v>16</v>
      </c>
      <c r="T627" s="17">
        <v>5.05</v>
      </c>
      <c r="U627" s="17">
        <v>770</v>
      </c>
    </row>
    <row r="628" spans="5:21" x14ac:dyDescent="0.25">
      <c r="E628" s="10">
        <v>43871</v>
      </c>
      <c r="F628" s="11">
        <v>0.86875000000000002</v>
      </c>
      <c r="G628" t="s">
        <v>24</v>
      </c>
      <c r="H628">
        <v>2.86</v>
      </c>
      <c r="I628">
        <v>300</v>
      </c>
      <c r="K628" s="14">
        <v>44047</v>
      </c>
      <c r="L628" s="15">
        <v>0.23124999999999998</v>
      </c>
      <c r="M628" s="13" t="s">
        <v>18</v>
      </c>
      <c r="N628" s="13">
        <v>3.01</v>
      </c>
      <c r="O628" s="13">
        <v>100</v>
      </c>
      <c r="Q628" s="18">
        <v>43976</v>
      </c>
      <c r="R628" s="19">
        <v>0.69305555555555554</v>
      </c>
      <c r="S628" s="17" t="s">
        <v>29</v>
      </c>
      <c r="T628" s="17">
        <v>0.3</v>
      </c>
      <c r="U628" s="17">
        <v>40</v>
      </c>
    </row>
    <row r="629" spans="5:21" x14ac:dyDescent="0.25">
      <c r="E629" s="10">
        <v>43871</v>
      </c>
      <c r="F629" s="11">
        <v>0.75555555555555554</v>
      </c>
      <c r="G629" t="s">
        <v>24</v>
      </c>
      <c r="H629">
        <v>1.2</v>
      </c>
      <c r="I629">
        <v>200</v>
      </c>
      <c r="K629" s="14">
        <v>44047</v>
      </c>
      <c r="L629" s="15">
        <v>0.18541666666666667</v>
      </c>
      <c r="M629" s="13" t="s">
        <v>18</v>
      </c>
      <c r="N629" s="13">
        <v>1.47</v>
      </c>
      <c r="O629" s="13">
        <v>75</v>
      </c>
      <c r="Q629" s="18">
        <v>43841</v>
      </c>
      <c r="R629" s="19">
        <v>0.12083333333333333</v>
      </c>
      <c r="S629" s="17" t="s">
        <v>29</v>
      </c>
      <c r="T629" s="17">
        <v>9.11</v>
      </c>
      <c r="U629" s="17">
        <v>800</v>
      </c>
    </row>
    <row r="630" spans="5:21" x14ac:dyDescent="0.25">
      <c r="E630" s="10">
        <v>43894</v>
      </c>
      <c r="F630" s="11">
        <v>0.19375000000000001</v>
      </c>
      <c r="G630" t="s">
        <v>24</v>
      </c>
      <c r="H630">
        <v>9.31</v>
      </c>
      <c r="I630">
        <v>400</v>
      </c>
      <c r="K630" s="14">
        <v>44077</v>
      </c>
      <c r="L630" s="15">
        <v>0.6645833333333333</v>
      </c>
      <c r="M630" s="13" t="s">
        <v>18</v>
      </c>
      <c r="N630" s="13">
        <v>6.05</v>
      </c>
      <c r="O630" s="13">
        <v>100</v>
      </c>
      <c r="Q630" s="18">
        <v>44070</v>
      </c>
      <c r="R630" s="19">
        <v>0.57847222222222217</v>
      </c>
      <c r="S630" s="17" t="s">
        <v>38</v>
      </c>
      <c r="T630" s="17">
        <v>11.1</v>
      </c>
      <c r="U630" s="17">
        <v>500</v>
      </c>
    </row>
    <row r="631" spans="5:21" x14ac:dyDescent="0.25">
      <c r="E631" s="10">
        <v>43914</v>
      </c>
      <c r="F631" s="11">
        <v>0.68541666666666667</v>
      </c>
      <c r="G631" t="s">
        <v>24</v>
      </c>
      <c r="H631">
        <v>16.88</v>
      </c>
      <c r="I631">
        <v>400</v>
      </c>
      <c r="K631" s="14">
        <v>44165</v>
      </c>
      <c r="L631" s="15">
        <v>0.56736111111111109</v>
      </c>
      <c r="M631" s="13" t="s">
        <v>18</v>
      </c>
      <c r="N631" s="13">
        <v>3.36</v>
      </c>
      <c r="O631" s="13">
        <v>75</v>
      </c>
      <c r="Q631" s="18">
        <v>44188</v>
      </c>
      <c r="R631" s="19">
        <v>0.94444444444444453</v>
      </c>
      <c r="S631" s="17" t="s">
        <v>24</v>
      </c>
      <c r="T631" s="17">
        <v>0.9</v>
      </c>
      <c r="U631" s="17">
        <v>50</v>
      </c>
    </row>
    <row r="632" spans="5:21" x14ac:dyDescent="0.25">
      <c r="E632" s="10">
        <v>43914</v>
      </c>
      <c r="F632" s="11">
        <v>0.68541666666666667</v>
      </c>
      <c r="G632" t="s">
        <v>24</v>
      </c>
      <c r="H632">
        <v>8.7200000000000006</v>
      </c>
      <c r="I632">
        <v>400</v>
      </c>
      <c r="K632" s="14">
        <v>44165</v>
      </c>
      <c r="L632" s="15">
        <v>0.59236111111111112</v>
      </c>
      <c r="M632" s="13" t="s">
        <v>18</v>
      </c>
      <c r="N632" s="13">
        <v>5.32</v>
      </c>
      <c r="O632" s="13">
        <v>75</v>
      </c>
      <c r="Q632" s="18">
        <v>44052</v>
      </c>
      <c r="R632" s="19">
        <v>0.55486111111111114</v>
      </c>
      <c r="S632" s="17" t="s">
        <v>31</v>
      </c>
      <c r="T632" s="17">
        <v>0.3</v>
      </c>
      <c r="U632" s="17">
        <v>50</v>
      </c>
    </row>
    <row r="633" spans="5:21" x14ac:dyDescent="0.25">
      <c r="E633" s="10">
        <v>43921</v>
      </c>
      <c r="F633" s="11">
        <v>0.35416666666666669</v>
      </c>
      <c r="G633" t="s">
        <v>24</v>
      </c>
      <c r="H633">
        <v>8.15</v>
      </c>
      <c r="I633">
        <v>50</v>
      </c>
      <c r="K633" s="14">
        <v>44045</v>
      </c>
      <c r="L633" s="15">
        <v>0.70694444444444438</v>
      </c>
      <c r="M633" s="13" t="s">
        <v>45</v>
      </c>
      <c r="N633" s="13">
        <v>8.39</v>
      </c>
      <c r="O633" s="13">
        <v>100</v>
      </c>
      <c r="Q633" s="18">
        <v>43908</v>
      </c>
      <c r="R633" s="19">
        <v>0.87986111111111109</v>
      </c>
      <c r="S633" s="17" t="s">
        <v>6</v>
      </c>
      <c r="T633" s="17">
        <v>0.81</v>
      </c>
      <c r="U633" s="17">
        <v>100</v>
      </c>
    </row>
    <row r="634" spans="5:21" x14ac:dyDescent="0.25">
      <c r="E634" s="10">
        <v>43933</v>
      </c>
      <c r="F634" s="11">
        <v>0.65</v>
      </c>
      <c r="G634" t="s">
        <v>24</v>
      </c>
      <c r="H634">
        <v>83.22</v>
      </c>
      <c r="I634">
        <v>2041</v>
      </c>
      <c r="K634" s="14">
        <v>44111</v>
      </c>
      <c r="L634" s="15">
        <v>0.65972222222222221</v>
      </c>
      <c r="M634" s="13" t="s">
        <v>45</v>
      </c>
      <c r="N634" s="13">
        <v>0.53</v>
      </c>
      <c r="O634" s="13">
        <v>50</v>
      </c>
      <c r="Q634" s="18">
        <v>43840</v>
      </c>
      <c r="R634" s="19">
        <v>0.98819444444444438</v>
      </c>
      <c r="S634" s="17" t="s">
        <v>6</v>
      </c>
      <c r="T634" s="17">
        <v>4.24</v>
      </c>
      <c r="U634" s="17">
        <v>500</v>
      </c>
    </row>
    <row r="635" spans="5:21" x14ac:dyDescent="0.25">
      <c r="E635" s="10">
        <v>43933</v>
      </c>
      <c r="F635" s="11">
        <v>0.6333333333333333</v>
      </c>
      <c r="G635" t="s">
        <v>24</v>
      </c>
      <c r="H635">
        <v>67.430000000000007</v>
      </c>
      <c r="I635">
        <v>3960</v>
      </c>
      <c r="K635" s="14">
        <v>43841</v>
      </c>
      <c r="L635" s="15">
        <v>5.8333333333333327E-2</v>
      </c>
      <c r="M635" s="13" t="s">
        <v>26</v>
      </c>
      <c r="N635" s="13">
        <v>31.79</v>
      </c>
      <c r="O635" s="13">
        <v>300</v>
      </c>
      <c r="Q635" s="18">
        <v>43867</v>
      </c>
      <c r="R635" s="19">
        <v>0.41319444444444442</v>
      </c>
      <c r="S635" s="17" t="s">
        <v>14</v>
      </c>
      <c r="T635" s="17">
        <v>8.66</v>
      </c>
      <c r="U635" s="17">
        <v>150</v>
      </c>
    </row>
    <row r="636" spans="5:21" x14ac:dyDescent="0.25">
      <c r="E636" s="10">
        <v>43933</v>
      </c>
      <c r="F636" s="11">
        <v>0.61041666666666672</v>
      </c>
      <c r="G636" t="s">
        <v>24</v>
      </c>
      <c r="H636">
        <v>21.17</v>
      </c>
      <c r="I636">
        <v>1936</v>
      </c>
      <c r="K636" s="14">
        <v>43841</v>
      </c>
      <c r="L636" s="15">
        <v>9.6527777777777768E-2</v>
      </c>
      <c r="M636" s="13" t="s">
        <v>26</v>
      </c>
      <c r="N636" s="13">
        <v>3.05</v>
      </c>
      <c r="O636" s="13">
        <v>250</v>
      </c>
      <c r="Q636" s="18">
        <v>44053</v>
      </c>
      <c r="R636" s="19">
        <v>0.47986111111111113</v>
      </c>
      <c r="S636" s="17" t="s">
        <v>23</v>
      </c>
      <c r="T636" s="17">
        <v>0.92</v>
      </c>
      <c r="U636" s="17">
        <v>40</v>
      </c>
    </row>
    <row r="637" spans="5:21" x14ac:dyDescent="0.25">
      <c r="E637" s="10">
        <v>43933</v>
      </c>
      <c r="F637" s="11">
        <v>0.68194444444444446</v>
      </c>
      <c r="G637" t="s">
        <v>24</v>
      </c>
      <c r="H637">
        <v>14.29</v>
      </c>
      <c r="I637">
        <v>300</v>
      </c>
      <c r="K637" s="14">
        <v>43841</v>
      </c>
      <c r="L637" s="15">
        <v>0.25277777777777777</v>
      </c>
      <c r="M637" s="13" t="s">
        <v>26</v>
      </c>
      <c r="N637" s="13">
        <v>1.2</v>
      </c>
      <c r="O637" s="13">
        <v>125</v>
      </c>
      <c r="Q637" s="18">
        <v>44178</v>
      </c>
      <c r="R637" s="19">
        <v>0.77430555555555547</v>
      </c>
      <c r="S637" s="17" t="s">
        <v>26</v>
      </c>
      <c r="T637" s="17">
        <v>1.07</v>
      </c>
      <c r="U637" s="17">
        <v>106</v>
      </c>
    </row>
    <row r="638" spans="5:21" x14ac:dyDescent="0.25">
      <c r="E638" s="10">
        <v>43933</v>
      </c>
      <c r="F638" s="11">
        <v>0.71527777777777779</v>
      </c>
      <c r="G638" t="s">
        <v>24</v>
      </c>
      <c r="H638">
        <v>8.8699999999999992</v>
      </c>
      <c r="I638">
        <v>985</v>
      </c>
      <c r="K638" s="14">
        <v>43933</v>
      </c>
      <c r="L638" s="15">
        <v>0.44166666666666665</v>
      </c>
      <c r="M638" s="13" t="s">
        <v>26</v>
      </c>
      <c r="N638" s="13">
        <v>8.01</v>
      </c>
      <c r="O638" s="13">
        <v>300</v>
      </c>
      <c r="Q638" s="18">
        <v>44002</v>
      </c>
      <c r="R638" s="19">
        <v>0.68263888888888891</v>
      </c>
      <c r="S638" s="17" t="s">
        <v>32</v>
      </c>
      <c r="T638" s="17">
        <v>1.07</v>
      </c>
      <c r="U638" s="17">
        <v>75</v>
      </c>
    </row>
    <row r="639" spans="5:21" x14ac:dyDescent="0.25">
      <c r="E639" s="10">
        <v>43933</v>
      </c>
      <c r="F639" s="11">
        <v>0.60416666666666663</v>
      </c>
      <c r="G639" t="s">
        <v>24</v>
      </c>
      <c r="H639">
        <v>8.49</v>
      </c>
      <c r="I639">
        <v>1100</v>
      </c>
      <c r="K639" s="14">
        <v>43933</v>
      </c>
      <c r="L639" s="15">
        <v>0.46597222222222223</v>
      </c>
      <c r="M639" s="13" t="s">
        <v>26</v>
      </c>
      <c r="N639" s="13">
        <v>4.6500000000000004</v>
      </c>
      <c r="O639" s="13">
        <v>150</v>
      </c>
      <c r="Q639" s="18">
        <v>44056</v>
      </c>
      <c r="R639" s="19">
        <v>0.7944444444444444</v>
      </c>
      <c r="S639" s="17" t="s">
        <v>8</v>
      </c>
      <c r="T639" s="17">
        <v>2</v>
      </c>
      <c r="U639" s="17">
        <v>120</v>
      </c>
    </row>
    <row r="640" spans="5:21" x14ac:dyDescent="0.25">
      <c r="E640" s="10">
        <v>43933</v>
      </c>
      <c r="F640" s="11">
        <v>0.51527777777777783</v>
      </c>
      <c r="G640" t="s">
        <v>24</v>
      </c>
      <c r="H640">
        <v>7.38</v>
      </c>
      <c r="I640">
        <v>250</v>
      </c>
      <c r="K640" s="14">
        <v>43933</v>
      </c>
      <c r="L640" s="15">
        <v>0.44861111111111113</v>
      </c>
      <c r="M640" s="13" t="s">
        <v>26</v>
      </c>
      <c r="N640" s="13">
        <v>1.1399999999999999</v>
      </c>
      <c r="O640" s="13">
        <v>50</v>
      </c>
      <c r="Q640" s="18">
        <v>44075</v>
      </c>
      <c r="R640" s="19">
        <v>0.68333333333333324</v>
      </c>
      <c r="S640" s="17" t="s">
        <v>21</v>
      </c>
      <c r="T640" s="17">
        <v>2.1</v>
      </c>
      <c r="U640" s="17">
        <v>50</v>
      </c>
    </row>
    <row r="641" spans="5:21" x14ac:dyDescent="0.25">
      <c r="E641" s="10">
        <v>43933</v>
      </c>
      <c r="F641" s="11">
        <v>0.5</v>
      </c>
      <c r="G641" t="s">
        <v>24</v>
      </c>
      <c r="H641">
        <v>6.02</v>
      </c>
      <c r="I641">
        <v>200</v>
      </c>
      <c r="K641" s="14">
        <v>43933</v>
      </c>
      <c r="L641" s="15">
        <v>0.40208333333333335</v>
      </c>
      <c r="M641" s="13" t="s">
        <v>26</v>
      </c>
      <c r="N641" s="13">
        <v>0.77</v>
      </c>
      <c r="O641" s="13">
        <v>75</v>
      </c>
      <c r="Q641" s="18">
        <v>44189</v>
      </c>
      <c r="R641" s="19">
        <v>1.7361111111111112E-2</v>
      </c>
      <c r="S641" s="17" t="s">
        <v>24</v>
      </c>
      <c r="T641" s="17">
        <v>1.98</v>
      </c>
      <c r="U641" s="17">
        <v>400</v>
      </c>
    </row>
    <row r="642" spans="5:21" x14ac:dyDescent="0.25">
      <c r="E642" s="10">
        <v>43933</v>
      </c>
      <c r="F642" s="11">
        <v>0.51180555555555551</v>
      </c>
      <c r="G642" t="s">
        <v>24</v>
      </c>
      <c r="H642">
        <v>4.09</v>
      </c>
      <c r="I642">
        <v>440</v>
      </c>
      <c r="K642" s="14">
        <v>43933</v>
      </c>
      <c r="L642" s="15">
        <v>0.36180555555555555</v>
      </c>
      <c r="M642" s="13" t="s">
        <v>26</v>
      </c>
      <c r="N642" s="13">
        <v>9.0500000000000007</v>
      </c>
      <c r="O642" s="13">
        <v>400</v>
      </c>
      <c r="Q642" s="18">
        <v>44081</v>
      </c>
      <c r="R642" s="19">
        <v>0.63472222222222219</v>
      </c>
      <c r="S642" s="17" t="s">
        <v>27</v>
      </c>
      <c r="T642" s="17">
        <v>3.21</v>
      </c>
      <c r="U642" s="17">
        <v>150</v>
      </c>
    </row>
    <row r="643" spans="5:21" x14ac:dyDescent="0.25">
      <c r="E643" s="10">
        <v>43933</v>
      </c>
      <c r="F643" s="11">
        <v>0.61249999999999993</v>
      </c>
      <c r="G643" t="s">
        <v>24</v>
      </c>
      <c r="H643">
        <v>3.89</v>
      </c>
      <c r="I643">
        <v>375</v>
      </c>
      <c r="K643" s="14">
        <v>43933</v>
      </c>
      <c r="L643" s="15">
        <v>0.39583333333333331</v>
      </c>
      <c r="M643" s="13" t="s">
        <v>26</v>
      </c>
      <c r="N643" s="13">
        <v>1.62</v>
      </c>
      <c r="O643" s="13">
        <v>400</v>
      </c>
      <c r="Q643" s="18">
        <v>44058</v>
      </c>
      <c r="R643" s="19">
        <v>0.6875</v>
      </c>
      <c r="S643" s="17" t="s">
        <v>42</v>
      </c>
      <c r="T643" s="17">
        <v>0.01</v>
      </c>
      <c r="U643" s="17">
        <v>20</v>
      </c>
    </row>
    <row r="644" spans="5:21" x14ac:dyDescent="0.25">
      <c r="E644" s="10">
        <v>43933</v>
      </c>
      <c r="F644" s="11">
        <v>0.57430555555555551</v>
      </c>
      <c r="G644" t="s">
        <v>24</v>
      </c>
      <c r="H644">
        <v>3.04</v>
      </c>
      <c r="I644">
        <v>150</v>
      </c>
      <c r="K644" s="14">
        <v>43933</v>
      </c>
      <c r="L644" s="15">
        <v>0.46527777777777773</v>
      </c>
      <c r="M644" s="13" t="s">
        <v>26</v>
      </c>
      <c r="N644" s="13">
        <v>9.52</v>
      </c>
      <c r="O644" s="13">
        <v>700</v>
      </c>
      <c r="Q644" s="18">
        <v>43909</v>
      </c>
      <c r="R644" s="19">
        <v>0.80763888888888891</v>
      </c>
      <c r="S644" s="17" t="s">
        <v>29</v>
      </c>
      <c r="T644" s="17">
        <v>2.79</v>
      </c>
      <c r="U644" s="17">
        <v>200</v>
      </c>
    </row>
    <row r="645" spans="5:21" x14ac:dyDescent="0.25">
      <c r="E645" s="10">
        <v>43933</v>
      </c>
      <c r="F645" s="11">
        <v>0.69930555555555562</v>
      </c>
      <c r="G645" t="s">
        <v>24</v>
      </c>
      <c r="H645">
        <v>2.88</v>
      </c>
      <c r="I645">
        <v>300</v>
      </c>
      <c r="K645" s="14">
        <v>43933</v>
      </c>
      <c r="L645" s="15">
        <v>0.46597222222222223</v>
      </c>
      <c r="M645" s="13" t="s">
        <v>26</v>
      </c>
      <c r="N645" s="13">
        <v>7.46</v>
      </c>
      <c r="O645" s="13">
        <v>700</v>
      </c>
      <c r="Q645" s="18">
        <v>43970</v>
      </c>
      <c r="R645" s="19">
        <v>0.84375</v>
      </c>
      <c r="S645" s="17" t="s">
        <v>7</v>
      </c>
      <c r="T645" s="17">
        <v>1</v>
      </c>
      <c r="U645" s="17">
        <v>20</v>
      </c>
    </row>
    <row r="646" spans="5:21" x14ac:dyDescent="0.25">
      <c r="E646" s="10">
        <v>43933</v>
      </c>
      <c r="F646" s="11">
        <v>0.54583333333333328</v>
      </c>
      <c r="G646" t="s">
        <v>24</v>
      </c>
      <c r="H646">
        <v>2.46</v>
      </c>
      <c r="I646">
        <v>500</v>
      </c>
      <c r="K646" s="14">
        <v>43933</v>
      </c>
      <c r="L646" s="15">
        <v>0.48680555555555555</v>
      </c>
      <c r="M646" s="13" t="s">
        <v>26</v>
      </c>
      <c r="N646" s="13">
        <v>1.1599999999999999</v>
      </c>
      <c r="O646" s="13">
        <v>170</v>
      </c>
      <c r="Q646" s="18">
        <v>44113</v>
      </c>
      <c r="R646" s="19">
        <v>0.64861111111111114</v>
      </c>
      <c r="S646" s="17" t="s">
        <v>24</v>
      </c>
      <c r="T646" s="17">
        <v>0.73</v>
      </c>
      <c r="U646" s="17">
        <v>100</v>
      </c>
    </row>
    <row r="647" spans="5:21" x14ac:dyDescent="0.25">
      <c r="E647" s="10">
        <v>43933</v>
      </c>
      <c r="F647" s="11">
        <v>0.53194444444444444</v>
      </c>
      <c r="G647" t="s">
        <v>24</v>
      </c>
      <c r="H647">
        <v>2.33</v>
      </c>
      <c r="I647">
        <v>50</v>
      </c>
      <c r="K647" s="14">
        <v>43933</v>
      </c>
      <c r="L647" s="15">
        <v>0.4597222222222222</v>
      </c>
      <c r="M647" s="13" t="s">
        <v>26</v>
      </c>
      <c r="N647" s="13">
        <v>3.03</v>
      </c>
      <c r="O647" s="13">
        <v>200</v>
      </c>
      <c r="Q647" s="18">
        <v>43945</v>
      </c>
      <c r="R647" s="19">
        <v>0.54722222222222217</v>
      </c>
      <c r="S647" s="17" t="s">
        <v>17</v>
      </c>
      <c r="T647" s="17">
        <v>0.02</v>
      </c>
      <c r="U647" s="17">
        <v>50</v>
      </c>
    </row>
    <row r="648" spans="5:21" x14ac:dyDescent="0.25">
      <c r="E648" s="10">
        <v>43933</v>
      </c>
      <c r="F648" s="11">
        <v>0.6333333333333333</v>
      </c>
      <c r="G648" t="s">
        <v>24</v>
      </c>
      <c r="H648">
        <v>0</v>
      </c>
      <c r="I648">
        <v>0</v>
      </c>
      <c r="K648" s="14">
        <v>43933</v>
      </c>
      <c r="L648" s="15">
        <v>0.36944444444444446</v>
      </c>
      <c r="M648" s="13" t="s">
        <v>26</v>
      </c>
      <c r="N648" s="13">
        <v>0.43</v>
      </c>
      <c r="O648" s="13">
        <v>125</v>
      </c>
      <c r="Q648" s="18">
        <v>43949</v>
      </c>
      <c r="R648" s="19">
        <v>0.89166666666666661</v>
      </c>
      <c r="S648" s="17" t="s">
        <v>29</v>
      </c>
      <c r="T648" s="17">
        <v>15.95</v>
      </c>
      <c r="U648" s="17">
        <v>350</v>
      </c>
    </row>
    <row r="649" spans="5:21" x14ac:dyDescent="0.25">
      <c r="E649" s="10">
        <v>43933</v>
      </c>
      <c r="F649" s="11">
        <v>0.65</v>
      </c>
      <c r="G649" t="s">
        <v>24</v>
      </c>
      <c r="H649">
        <v>0</v>
      </c>
      <c r="I649">
        <v>0</v>
      </c>
      <c r="K649" s="14">
        <v>43933</v>
      </c>
      <c r="L649" s="15">
        <v>0.44375000000000003</v>
      </c>
      <c r="M649" s="13" t="s">
        <v>26</v>
      </c>
      <c r="N649" s="13">
        <v>2.6</v>
      </c>
      <c r="O649" s="13">
        <v>400</v>
      </c>
      <c r="Q649" s="18">
        <v>44071</v>
      </c>
      <c r="R649" s="19">
        <v>0.70694444444444438</v>
      </c>
      <c r="S649" s="17" t="s">
        <v>20</v>
      </c>
      <c r="T649" s="17">
        <v>0.22</v>
      </c>
      <c r="U649" s="17">
        <v>40</v>
      </c>
    </row>
    <row r="650" spans="5:21" x14ac:dyDescent="0.25">
      <c r="E650" s="10">
        <v>43940</v>
      </c>
      <c r="F650" s="11">
        <v>0.75624999999999998</v>
      </c>
      <c r="G650" t="s">
        <v>24</v>
      </c>
      <c r="H650">
        <v>53.76</v>
      </c>
      <c r="I650">
        <v>2275</v>
      </c>
      <c r="K650" s="14">
        <v>43933</v>
      </c>
      <c r="L650" s="15">
        <v>0.37291666666666662</v>
      </c>
      <c r="M650" s="13" t="s">
        <v>26</v>
      </c>
      <c r="N650" s="13">
        <v>6.65</v>
      </c>
      <c r="O650" s="13">
        <v>300</v>
      </c>
      <c r="Q650" s="18">
        <v>43841</v>
      </c>
      <c r="R650" s="19">
        <v>0.46597222222222223</v>
      </c>
      <c r="S650" s="17" t="s">
        <v>20</v>
      </c>
      <c r="T650" s="17">
        <v>6.33</v>
      </c>
      <c r="U650" s="17">
        <v>1056</v>
      </c>
    </row>
    <row r="651" spans="5:21" x14ac:dyDescent="0.25">
      <c r="E651" s="10">
        <v>43940</v>
      </c>
      <c r="F651" s="11">
        <v>0.86875000000000002</v>
      </c>
      <c r="G651" t="s">
        <v>24</v>
      </c>
      <c r="H651">
        <v>3.12</v>
      </c>
      <c r="I651">
        <v>200</v>
      </c>
      <c r="K651" s="14">
        <v>43933</v>
      </c>
      <c r="L651" s="15">
        <v>0.38194444444444442</v>
      </c>
      <c r="M651" s="13" t="s">
        <v>26</v>
      </c>
      <c r="N651" s="13">
        <v>6.13</v>
      </c>
      <c r="O651" s="13">
        <v>1000</v>
      </c>
      <c r="Q651" s="18">
        <v>43933</v>
      </c>
      <c r="R651" s="19">
        <v>0.8520833333333333</v>
      </c>
      <c r="S651" s="17" t="s">
        <v>20</v>
      </c>
      <c r="T651" s="17">
        <v>4.97</v>
      </c>
      <c r="U651" s="17">
        <v>200</v>
      </c>
    </row>
    <row r="652" spans="5:21" x14ac:dyDescent="0.25">
      <c r="E652" s="10">
        <v>43940</v>
      </c>
      <c r="F652" s="11">
        <v>0.75624999999999998</v>
      </c>
      <c r="G652" t="s">
        <v>24</v>
      </c>
      <c r="H652">
        <v>0</v>
      </c>
      <c r="I652">
        <v>0</v>
      </c>
      <c r="K652" s="14">
        <v>43940</v>
      </c>
      <c r="L652" s="15">
        <v>0.55347222222222225</v>
      </c>
      <c r="M652" s="13" t="s">
        <v>26</v>
      </c>
      <c r="N652" s="13">
        <v>2</v>
      </c>
      <c r="O652" s="13">
        <v>500</v>
      </c>
      <c r="Q652" s="18">
        <v>44056</v>
      </c>
      <c r="R652" s="19">
        <v>0.76736111111111116</v>
      </c>
      <c r="S652" s="17" t="s">
        <v>28</v>
      </c>
      <c r="T652" s="17">
        <v>0.1</v>
      </c>
      <c r="U652" s="17">
        <v>10</v>
      </c>
    </row>
    <row r="653" spans="5:21" x14ac:dyDescent="0.25">
      <c r="E653" s="10">
        <v>43944</v>
      </c>
      <c r="F653" s="11">
        <v>8.819444444444445E-2</v>
      </c>
      <c r="G653" t="s">
        <v>24</v>
      </c>
      <c r="H653">
        <v>18.3</v>
      </c>
      <c r="I653">
        <v>1760</v>
      </c>
      <c r="K653" s="14">
        <v>43940</v>
      </c>
      <c r="L653" s="15">
        <v>0.65972222222222221</v>
      </c>
      <c r="M653" s="13" t="s">
        <v>26</v>
      </c>
      <c r="N653" s="13">
        <v>5.34</v>
      </c>
      <c r="O653" s="13">
        <v>500</v>
      </c>
      <c r="Q653" s="18">
        <v>43975</v>
      </c>
      <c r="R653" s="19">
        <v>0.72638888888888886</v>
      </c>
      <c r="S653" s="17" t="s">
        <v>28</v>
      </c>
      <c r="T653" s="17">
        <v>3.31</v>
      </c>
      <c r="U653" s="17">
        <v>40</v>
      </c>
    </row>
    <row r="654" spans="5:21" x14ac:dyDescent="0.25">
      <c r="E654" s="10">
        <v>43944</v>
      </c>
      <c r="F654" s="11">
        <v>0.13472222222222222</v>
      </c>
      <c r="G654" t="s">
        <v>24</v>
      </c>
      <c r="H654">
        <v>16.850000000000001</v>
      </c>
      <c r="I654">
        <v>2640</v>
      </c>
      <c r="K654" s="14">
        <v>43940</v>
      </c>
      <c r="L654" s="15">
        <v>0.88402777777777775</v>
      </c>
      <c r="M654" s="13" t="s">
        <v>26</v>
      </c>
      <c r="N654" s="13">
        <v>3.05</v>
      </c>
      <c r="O654" s="13">
        <v>300</v>
      </c>
      <c r="Q654" s="18">
        <v>44053</v>
      </c>
      <c r="R654" s="19">
        <v>0.60972222222222217</v>
      </c>
      <c r="S654" s="17" t="s">
        <v>32</v>
      </c>
      <c r="T654" s="17">
        <v>3.29</v>
      </c>
      <c r="U654" s="17">
        <v>50</v>
      </c>
    </row>
    <row r="655" spans="5:21" x14ac:dyDescent="0.25">
      <c r="E655" s="10">
        <v>43944</v>
      </c>
      <c r="F655" s="11">
        <v>3.9583333333333331E-2</v>
      </c>
      <c r="G655" t="s">
        <v>24</v>
      </c>
      <c r="H655">
        <v>11.43</v>
      </c>
      <c r="I655">
        <v>1230</v>
      </c>
      <c r="K655" s="14">
        <v>43943</v>
      </c>
      <c r="L655" s="15">
        <v>0.8520833333333333</v>
      </c>
      <c r="M655" s="13" t="s">
        <v>26</v>
      </c>
      <c r="N655" s="13">
        <v>3.85</v>
      </c>
      <c r="O655" s="13">
        <v>500</v>
      </c>
      <c r="Q655" s="18">
        <v>44115</v>
      </c>
      <c r="R655" s="19">
        <v>0.59652777777777777</v>
      </c>
      <c r="S655" s="17" t="s">
        <v>10</v>
      </c>
      <c r="T655" s="17">
        <v>0.3</v>
      </c>
      <c r="U655" s="17">
        <v>30</v>
      </c>
    </row>
    <row r="656" spans="5:21" x14ac:dyDescent="0.25">
      <c r="E656" s="10">
        <v>43944</v>
      </c>
      <c r="F656" s="11">
        <v>0.12291666666666667</v>
      </c>
      <c r="G656" t="s">
        <v>24</v>
      </c>
      <c r="H656">
        <v>6.49</v>
      </c>
      <c r="I656">
        <v>200</v>
      </c>
      <c r="K656" s="14">
        <v>43943</v>
      </c>
      <c r="L656" s="15">
        <v>0.78888888888888886</v>
      </c>
      <c r="M656" s="13" t="s">
        <v>26</v>
      </c>
      <c r="N656" s="13">
        <v>15.62</v>
      </c>
      <c r="O656" s="13">
        <v>500</v>
      </c>
      <c r="Q656" s="18">
        <v>44006</v>
      </c>
      <c r="R656" s="19">
        <v>0.5131944444444444</v>
      </c>
      <c r="S656" s="17" t="s">
        <v>24</v>
      </c>
      <c r="T656" s="17">
        <v>0.98</v>
      </c>
      <c r="U656" s="17">
        <v>50</v>
      </c>
    </row>
    <row r="657" spans="5:21" x14ac:dyDescent="0.25">
      <c r="E657" s="10">
        <v>43944</v>
      </c>
      <c r="F657" s="11">
        <v>0.22013888888888888</v>
      </c>
      <c r="G657" t="s">
        <v>24</v>
      </c>
      <c r="H657">
        <v>2.2599999999999998</v>
      </c>
      <c r="I657">
        <v>200</v>
      </c>
      <c r="K657" s="14">
        <v>43943</v>
      </c>
      <c r="L657" s="15">
        <v>0.88680555555555562</v>
      </c>
      <c r="M657" s="13" t="s">
        <v>26</v>
      </c>
      <c r="N657" s="13">
        <v>4.01</v>
      </c>
      <c r="O657" s="13">
        <v>880</v>
      </c>
      <c r="Q657" s="18">
        <v>44071</v>
      </c>
      <c r="R657" s="19">
        <v>0.65</v>
      </c>
      <c r="S657" s="17" t="s">
        <v>20</v>
      </c>
      <c r="T657" s="17">
        <v>2.56</v>
      </c>
      <c r="U657" s="17">
        <v>100</v>
      </c>
    </row>
    <row r="658" spans="5:21" x14ac:dyDescent="0.25">
      <c r="E658" s="10">
        <v>43944</v>
      </c>
      <c r="F658" s="11">
        <v>0.14791666666666667</v>
      </c>
      <c r="G658" t="s">
        <v>24</v>
      </c>
      <c r="H658">
        <v>1.8</v>
      </c>
      <c r="I658">
        <v>350</v>
      </c>
      <c r="K658" s="14">
        <v>43943</v>
      </c>
      <c r="L658" s="15">
        <v>0.86249999999999993</v>
      </c>
      <c r="M658" s="13" t="s">
        <v>26</v>
      </c>
      <c r="N658" s="13">
        <v>5.36</v>
      </c>
      <c r="O658" s="13">
        <v>200</v>
      </c>
      <c r="Q658" s="18">
        <v>43940</v>
      </c>
      <c r="R658" s="19">
        <v>0.94861111111111107</v>
      </c>
      <c r="S658" s="17" t="s">
        <v>20</v>
      </c>
      <c r="T658" s="17">
        <v>6.45</v>
      </c>
      <c r="U658" s="17">
        <v>100</v>
      </c>
    </row>
    <row r="659" spans="5:21" x14ac:dyDescent="0.25">
      <c r="E659" s="10">
        <v>43944</v>
      </c>
      <c r="F659" s="11">
        <v>0.22500000000000001</v>
      </c>
      <c r="G659" t="s">
        <v>24</v>
      </c>
      <c r="H659">
        <v>1.45</v>
      </c>
      <c r="I659">
        <v>250</v>
      </c>
      <c r="K659" s="14">
        <v>43943</v>
      </c>
      <c r="L659" s="15">
        <v>0.83958333333333324</v>
      </c>
      <c r="M659" s="13" t="s">
        <v>26</v>
      </c>
      <c r="N659" s="13">
        <v>8.43</v>
      </c>
      <c r="O659" s="13">
        <v>500</v>
      </c>
      <c r="Q659" s="18">
        <v>43841</v>
      </c>
      <c r="R659" s="19">
        <v>0.17916666666666667</v>
      </c>
      <c r="S659" s="17" t="s">
        <v>24</v>
      </c>
      <c r="T659" s="17">
        <v>5.54</v>
      </c>
      <c r="U659" s="17">
        <v>1700</v>
      </c>
    </row>
    <row r="660" spans="5:21" x14ac:dyDescent="0.25">
      <c r="E660" s="10">
        <v>43944</v>
      </c>
      <c r="F660" s="11">
        <v>0.22430555555555556</v>
      </c>
      <c r="G660" t="s">
        <v>24</v>
      </c>
      <c r="H660">
        <v>0.38</v>
      </c>
      <c r="I660">
        <v>50</v>
      </c>
      <c r="K660" s="14">
        <v>43943</v>
      </c>
      <c r="L660" s="15">
        <v>0.87916666666666676</v>
      </c>
      <c r="M660" s="13" t="s">
        <v>26</v>
      </c>
      <c r="N660" s="13">
        <v>0</v>
      </c>
      <c r="O660" s="13">
        <v>0</v>
      </c>
      <c r="Q660" s="18">
        <v>44091</v>
      </c>
      <c r="R660" s="19">
        <v>0.55625000000000002</v>
      </c>
      <c r="S660" s="17" t="s">
        <v>10</v>
      </c>
      <c r="T660" s="17">
        <v>2.2400000000000002</v>
      </c>
      <c r="U660" s="17">
        <v>20</v>
      </c>
    </row>
    <row r="661" spans="5:21" x14ac:dyDescent="0.25">
      <c r="E661" s="10">
        <v>44006</v>
      </c>
      <c r="F661" s="11">
        <v>0.2638888888888889</v>
      </c>
      <c r="G661" t="s">
        <v>24</v>
      </c>
      <c r="H661">
        <v>6.13</v>
      </c>
      <c r="I661">
        <v>150</v>
      </c>
      <c r="K661" s="14">
        <v>43943</v>
      </c>
      <c r="L661" s="15">
        <v>0.85138888888888886</v>
      </c>
      <c r="M661" s="13" t="s">
        <v>26</v>
      </c>
      <c r="N661" s="13">
        <v>8.98</v>
      </c>
      <c r="O661" s="13">
        <v>550</v>
      </c>
      <c r="Q661" s="18">
        <v>43973</v>
      </c>
      <c r="R661" s="19">
        <v>0.87361111111111101</v>
      </c>
      <c r="S661" s="17" t="s">
        <v>33</v>
      </c>
      <c r="T661" s="17">
        <v>0.9</v>
      </c>
      <c r="U661" s="17">
        <v>100</v>
      </c>
    </row>
    <row r="662" spans="5:21" x14ac:dyDescent="0.25">
      <c r="E662" s="10">
        <v>44006</v>
      </c>
      <c r="F662" s="11">
        <v>0.5</v>
      </c>
      <c r="G662" t="s">
        <v>24</v>
      </c>
      <c r="H662">
        <v>1.27</v>
      </c>
      <c r="I662">
        <v>50</v>
      </c>
      <c r="K662" s="14">
        <v>43943</v>
      </c>
      <c r="L662" s="15">
        <v>0.87916666666666676</v>
      </c>
      <c r="M662" s="13" t="s">
        <v>26</v>
      </c>
      <c r="N662" s="13">
        <v>7.61</v>
      </c>
      <c r="O662" s="13">
        <v>1200</v>
      </c>
      <c r="Q662" s="18">
        <v>43989</v>
      </c>
      <c r="R662" s="19">
        <v>0.58680555555555558</v>
      </c>
      <c r="S662" s="17" t="s">
        <v>19</v>
      </c>
      <c r="T662" s="17">
        <v>0.01</v>
      </c>
      <c r="U662" s="17">
        <v>25</v>
      </c>
    </row>
    <row r="663" spans="5:21" x14ac:dyDescent="0.25">
      <c r="E663" s="10">
        <v>44006</v>
      </c>
      <c r="F663" s="11">
        <v>0.5131944444444444</v>
      </c>
      <c r="G663" t="s">
        <v>24</v>
      </c>
      <c r="H663">
        <v>0.98</v>
      </c>
      <c r="I663">
        <v>50</v>
      </c>
      <c r="K663" s="14">
        <v>43944</v>
      </c>
      <c r="L663" s="15">
        <v>1.3888888888888888E-2</v>
      </c>
      <c r="M663" s="13" t="s">
        <v>26</v>
      </c>
      <c r="N663" s="13">
        <v>1.1299999999999999</v>
      </c>
      <c r="O663" s="13">
        <v>100</v>
      </c>
      <c r="Q663" s="18">
        <v>43973</v>
      </c>
      <c r="R663" s="19">
        <v>0.82986111111111116</v>
      </c>
      <c r="S663" s="17" t="s">
        <v>33</v>
      </c>
      <c r="T663" s="17">
        <v>1.7</v>
      </c>
      <c r="U663" s="17">
        <v>75</v>
      </c>
    </row>
    <row r="664" spans="5:21" x14ac:dyDescent="0.25">
      <c r="E664" s="10">
        <v>44006</v>
      </c>
      <c r="F664" s="11">
        <v>0.51527777777777783</v>
      </c>
      <c r="G664" t="s">
        <v>24</v>
      </c>
      <c r="H664">
        <v>0.89</v>
      </c>
      <c r="I664">
        <v>50</v>
      </c>
      <c r="K664" s="14">
        <v>43944</v>
      </c>
      <c r="L664" s="15">
        <v>3.5416666666666666E-2</v>
      </c>
      <c r="M664" s="13" t="s">
        <v>26</v>
      </c>
      <c r="N664" s="13">
        <v>9.5299999999999994</v>
      </c>
      <c r="O664" s="13">
        <v>150</v>
      </c>
      <c r="Q664" s="18">
        <v>43991</v>
      </c>
      <c r="R664" s="19">
        <v>0.69097222222222221</v>
      </c>
      <c r="S664" s="17" t="s">
        <v>8</v>
      </c>
      <c r="T664" s="17">
        <v>0.33</v>
      </c>
      <c r="U664" s="17">
        <v>25</v>
      </c>
    </row>
    <row r="665" spans="5:21" x14ac:dyDescent="0.25">
      <c r="E665" s="10">
        <v>44006</v>
      </c>
      <c r="F665" s="11">
        <v>0.4770833333333333</v>
      </c>
      <c r="G665" t="s">
        <v>24</v>
      </c>
      <c r="H665">
        <v>0.73</v>
      </c>
      <c r="I665">
        <v>40</v>
      </c>
      <c r="K665" s="14">
        <v>43944</v>
      </c>
      <c r="L665" s="15">
        <v>5.5555555555555558E-3</v>
      </c>
      <c r="M665" s="13" t="s">
        <v>26</v>
      </c>
      <c r="N665" s="13">
        <v>3.62</v>
      </c>
      <c r="O665" s="13">
        <v>100</v>
      </c>
      <c r="Q665" s="18">
        <v>43942</v>
      </c>
      <c r="R665" s="19">
        <v>0.94652777777777775</v>
      </c>
      <c r="S665" s="17" t="s">
        <v>33</v>
      </c>
      <c r="T665" s="17">
        <v>1.6</v>
      </c>
      <c r="U665" s="17">
        <v>100</v>
      </c>
    </row>
    <row r="666" spans="5:21" x14ac:dyDescent="0.25">
      <c r="E666" s="10">
        <v>44006</v>
      </c>
      <c r="F666" s="11">
        <v>0.27430555555555552</v>
      </c>
      <c r="G666" t="s">
        <v>24</v>
      </c>
      <c r="H666">
        <v>0.4</v>
      </c>
      <c r="I666">
        <v>50</v>
      </c>
      <c r="K666" s="14">
        <v>43956</v>
      </c>
      <c r="L666" s="15">
        <v>0.86458333333333337</v>
      </c>
      <c r="M666" s="13" t="s">
        <v>26</v>
      </c>
      <c r="N666" s="13">
        <v>13.56</v>
      </c>
      <c r="O666" s="13">
        <v>75</v>
      </c>
      <c r="Q666" s="18">
        <v>43973</v>
      </c>
      <c r="R666" s="19">
        <v>0.67152777777777783</v>
      </c>
      <c r="S666" s="17" t="s">
        <v>28</v>
      </c>
      <c r="T666" s="17">
        <v>0.03</v>
      </c>
      <c r="U666" s="17">
        <v>50</v>
      </c>
    </row>
    <row r="667" spans="5:21" x14ac:dyDescent="0.25">
      <c r="E667" s="10">
        <v>44006</v>
      </c>
      <c r="F667" s="11">
        <v>0.4861111111111111</v>
      </c>
      <c r="G667" t="s">
        <v>24</v>
      </c>
      <c r="H667">
        <v>0.39</v>
      </c>
      <c r="I667">
        <v>70</v>
      </c>
      <c r="K667" s="14">
        <v>43959</v>
      </c>
      <c r="L667" s="15">
        <v>0.56597222222222221</v>
      </c>
      <c r="M667" s="13" t="s">
        <v>26</v>
      </c>
      <c r="N667" s="13">
        <v>0.63</v>
      </c>
      <c r="O667" s="13">
        <v>100</v>
      </c>
      <c r="Q667" s="18">
        <v>43933</v>
      </c>
      <c r="R667" s="19">
        <v>0.6972222222222223</v>
      </c>
      <c r="S667" s="17" t="s">
        <v>20</v>
      </c>
      <c r="T667" s="17">
        <v>0.47</v>
      </c>
      <c r="U667" s="17">
        <v>125</v>
      </c>
    </row>
    <row r="668" spans="5:21" x14ac:dyDescent="0.25">
      <c r="E668" s="10">
        <v>44006</v>
      </c>
      <c r="F668" s="11">
        <v>0.48194444444444445</v>
      </c>
      <c r="G668" t="s">
        <v>24</v>
      </c>
      <c r="H668">
        <v>0.25</v>
      </c>
      <c r="I668">
        <v>50</v>
      </c>
      <c r="K668" s="14">
        <v>43968</v>
      </c>
      <c r="L668" s="15">
        <v>0.7090277777777777</v>
      </c>
      <c r="M668" s="13" t="s">
        <v>26</v>
      </c>
      <c r="N668" s="13">
        <v>1.03</v>
      </c>
      <c r="O668" s="13">
        <v>10</v>
      </c>
      <c r="Q668" s="18">
        <v>43933</v>
      </c>
      <c r="R668" s="19">
        <v>0.46527777777777773</v>
      </c>
      <c r="S668" s="17" t="s">
        <v>26</v>
      </c>
      <c r="T668" s="17">
        <v>9.52</v>
      </c>
      <c r="U668" s="17">
        <v>700</v>
      </c>
    </row>
    <row r="669" spans="5:21" x14ac:dyDescent="0.25">
      <c r="E669" s="10">
        <v>44006</v>
      </c>
      <c r="F669" s="11">
        <v>0.49861111111111112</v>
      </c>
      <c r="G669" t="s">
        <v>24</v>
      </c>
      <c r="H669">
        <v>0.19</v>
      </c>
      <c r="I669">
        <v>20</v>
      </c>
      <c r="K669" s="14">
        <v>43968</v>
      </c>
      <c r="L669" s="15">
        <v>0.73611111111111116</v>
      </c>
      <c r="M669" s="13" t="s">
        <v>26</v>
      </c>
      <c r="N669" s="13">
        <v>0.1</v>
      </c>
      <c r="O669" s="13">
        <v>10</v>
      </c>
      <c r="Q669" s="18">
        <v>43866</v>
      </c>
      <c r="R669" s="19">
        <v>0.72083333333333333</v>
      </c>
      <c r="S669" s="17" t="s">
        <v>20</v>
      </c>
      <c r="T669" s="17">
        <v>1.32</v>
      </c>
      <c r="U669" s="17">
        <v>60</v>
      </c>
    </row>
    <row r="670" spans="5:21" x14ac:dyDescent="0.25">
      <c r="E670" s="10">
        <v>44026</v>
      </c>
      <c r="F670" s="11">
        <v>0.6</v>
      </c>
      <c r="G670" t="s">
        <v>24</v>
      </c>
      <c r="H670">
        <v>1</v>
      </c>
      <c r="I670">
        <v>25</v>
      </c>
      <c r="K670" s="14">
        <v>43968</v>
      </c>
      <c r="L670" s="15">
        <v>0.69513888888888886</v>
      </c>
      <c r="M670" s="13" t="s">
        <v>26</v>
      </c>
      <c r="N670" s="13">
        <v>4.34</v>
      </c>
      <c r="O670" s="13">
        <v>25</v>
      </c>
      <c r="Q670" s="18">
        <v>43965</v>
      </c>
      <c r="R670" s="19">
        <v>0.8256944444444444</v>
      </c>
      <c r="S670" s="17" t="s">
        <v>12</v>
      </c>
      <c r="T670" s="17">
        <v>3.69</v>
      </c>
      <c r="U670" s="17">
        <v>50</v>
      </c>
    </row>
    <row r="671" spans="5:21" x14ac:dyDescent="0.25">
      <c r="E671" s="10">
        <v>44071</v>
      </c>
      <c r="F671" s="11">
        <v>0.23124999999999998</v>
      </c>
      <c r="G671" t="s">
        <v>24</v>
      </c>
      <c r="H671">
        <v>1.1000000000000001</v>
      </c>
      <c r="I671">
        <v>50</v>
      </c>
      <c r="K671" s="14">
        <v>43968</v>
      </c>
      <c r="L671" s="15">
        <v>0.79166666666666663</v>
      </c>
      <c r="M671" s="13" t="s">
        <v>26</v>
      </c>
      <c r="N671" s="13">
        <v>0.2</v>
      </c>
      <c r="O671" s="13">
        <v>10</v>
      </c>
      <c r="Q671" s="18">
        <v>43943</v>
      </c>
      <c r="R671" s="19">
        <v>0.83958333333333324</v>
      </c>
      <c r="S671" s="17" t="s">
        <v>26</v>
      </c>
      <c r="T671" s="17">
        <v>8.43</v>
      </c>
      <c r="U671" s="17">
        <v>500</v>
      </c>
    </row>
    <row r="672" spans="5:21" x14ac:dyDescent="0.25">
      <c r="E672" s="10">
        <v>44113</v>
      </c>
      <c r="F672" s="11">
        <v>0.64861111111111114</v>
      </c>
      <c r="G672" t="s">
        <v>24</v>
      </c>
      <c r="H672">
        <v>0.73</v>
      </c>
      <c r="I672">
        <v>100</v>
      </c>
      <c r="K672" s="14">
        <v>43968</v>
      </c>
      <c r="L672" s="15">
        <v>0.81319444444444444</v>
      </c>
      <c r="M672" s="13" t="s">
        <v>26</v>
      </c>
      <c r="N672" s="13">
        <v>3.93</v>
      </c>
      <c r="O672" s="13">
        <v>100</v>
      </c>
      <c r="Q672" s="18">
        <v>43921</v>
      </c>
      <c r="R672" s="19">
        <v>0.59513888888888888</v>
      </c>
      <c r="S672" s="17" t="s">
        <v>19</v>
      </c>
      <c r="T672" s="17">
        <v>11.74</v>
      </c>
      <c r="U672" s="17">
        <v>100</v>
      </c>
    </row>
    <row r="673" spans="5:21" x14ac:dyDescent="0.25">
      <c r="E673" s="10">
        <v>44132</v>
      </c>
      <c r="F673" s="11">
        <v>0.71458333333333324</v>
      </c>
      <c r="G673" t="s">
        <v>24</v>
      </c>
      <c r="H673">
        <v>5</v>
      </c>
      <c r="I673">
        <v>150</v>
      </c>
      <c r="K673" s="14">
        <v>43976</v>
      </c>
      <c r="L673" s="15">
        <v>0.71666666666666667</v>
      </c>
      <c r="M673" s="13" t="s">
        <v>26</v>
      </c>
      <c r="N673" s="13">
        <v>2.2799999999999998</v>
      </c>
      <c r="O673" s="13">
        <v>40</v>
      </c>
      <c r="Q673" s="18">
        <v>43940</v>
      </c>
      <c r="R673" s="19">
        <v>0.65972222222222221</v>
      </c>
      <c r="S673" s="17" t="s">
        <v>26</v>
      </c>
      <c r="T673" s="17">
        <v>5.34</v>
      </c>
      <c r="U673" s="17">
        <v>500</v>
      </c>
    </row>
    <row r="674" spans="5:21" x14ac:dyDescent="0.25">
      <c r="E674" s="10">
        <v>44160</v>
      </c>
      <c r="F674" s="11">
        <v>0.30624999999999997</v>
      </c>
      <c r="G674" t="s">
        <v>24</v>
      </c>
      <c r="H674">
        <v>0.74</v>
      </c>
      <c r="I674">
        <v>175</v>
      </c>
      <c r="K674" s="14">
        <v>44006</v>
      </c>
      <c r="L674" s="15">
        <v>0.5625</v>
      </c>
      <c r="M674" s="13" t="s">
        <v>26</v>
      </c>
      <c r="N674" s="13">
        <v>0.7</v>
      </c>
      <c r="O674" s="13">
        <v>75</v>
      </c>
      <c r="Q674" s="18">
        <v>44165</v>
      </c>
      <c r="R674" s="19">
        <v>0.20833333333333334</v>
      </c>
      <c r="S674" s="17" t="s">
        <v>19</v>
      </c>
      <c r="T674" s="17">
        <v>12.45</v>
      </c>
      <c r="U674" s="17">
        <v>50</v>
      </c>
    </row>
    <row r="675" spans="5:21" x14ac:dyDescent="0.25">
      <c r="E675" s="10">
        <v>44162</v>
      </c>
      <c r="F675" s="11">
        <v>0.62291666666666667</v>
      </c>
      <c r="G675" t="s">
        <v>24</v>
      </c>
      <c r="H675">
        <v>2</v>
      </c>
      <c r="I675">
        <v>50</v>
      </c>
      <c r="K675" s="14">
        <v>44006</v>
      </c>
      <c r="L675" s="15">
        <v>0.20138888888888887</v>
      </c>
      <c r="M675" s="13" t="s">
        <v>26</v>
      </c>
      <c r="N675" s="13">
        <v>3.54</v>
      </c>
      <c r="O675" s="13">
        <v>100</v>
      </c>
      <c r="Q675" s="18">
        <v>44047</v>
      </c>
      <c r="R675" s="19">
        <v>0.2673611111111111</v>
      </c>
      <c r="S675" s="17" t="s">
        <v>40</v>
      </c>
      <c r="T675" s="17">
        <v>2.14</v>
      </c>
      <c r="U675" s="17">
        <v>400</v>
      </c>
    </row>
    <row r="676" spans="5:21" x14ac:dyDescent="0.25">
      <c r="E676" s="10">
        <v>44188</v>
      </c>
      <c r="F676" s="11">
        <v>0.97499999999999998</v>
      </c>
      <c r="G676" t="s">
        <v>24</v>
      </c>
      <c r="H676">
        <v>5.0599999999999996</v>
      </c>
      <c r="I676">
        <v>250</v>
      </c>
      <c r="K676" s="14">
        <v>44006</v>
      </c>
      <c r="L676" s="15">
        <v>0.22569444444444445</v>
      </c>
      <c r="M676" s="13" t="s">
        <v>26</v>
      </c>
      <c r="N676" s="13">
        <v>0.33</v>
      </c>
      <c r="O676" s="13">
        <v>125</v>
      </c>
      <c r="Q676" s="18">
        <v>43933</v>
      </c>
      <c r="R676" s="19">
        <v>0.61249999999999993</v>
      </c>
      <c r="S676" s="17" t="s">
        <v>24</v>
      </c>
      <c r="T676" s="17">
        <v>3.89</v>
      </c>
      <c r="U676" s="17">
        <v>375</v>
      </c>
    </row>
    <row r="677" spans="5:21" x14ac:dyDescent="0.25">
      <c r="E677" s="10">
        <v>44188</v>
      </c>
      <c r="F677" s="11">
        <v>0.9868055555555556</v>
      </c>
      <c r="G677" t="s">
        <v>24</v>
      </c>
      <c r="H677">
        <v>4.12</v>
      </c>
      <c r="I677">
        <v>150</v>
      </c>
      <c r="K677" s="14">
        <v>44069</v>
      </c>
      <c r="L677" s="15">
        <v>0.53819444444444442</v>
      </c>
      <c r="M677" s="13" t="s">
        <v>26</v>
      </c>
      <c r="N677" s="13">
        <v>0.05</v>
      </c>
      <c r="O677" s="13">
        <v>10</v>
      </c>
      <c r="Q677" s="18">
        <v>43933</v>
      </c>
      <c r="R677" s="19">
        <v>0.46597222222222223</v>
      </c>
      <c r="S677" s="17" t="s">
        <v>26</v>
      </c>
      <c r="T677" s="17">
        <v>7.46</v>
      </c>
      <c r="U677" s="17">
        <v>700</v>
      </c>
    </row>
    <row r="678" spans="5:21" x14ac:dyDescent="0.25">
      <c r="E678" s="10">
        <v>44188</v>
      </c>
      <c r="F678" s="11">
        <v>0.98333333333333339</v>
      </c>
      <c r="G678" t="s">
        <v>24</v>
      </c>
      <c r="H678">
        <v>3.44</v>
      </c>
      <c r="I678">
        <v>100</v>
      </c>
      <c r="K678" s="14">
        <v>44178</v>
      </c>
      <c r="L678" s="15">
        <v>0.77430555555555547</v>
      </c>
      <c r="M678" s="13" t="s">
        <v>26</v>
      </c>
      <c r="N678" s="13">
        <v>1.07</v>
      </c>
      <c r="O678" s="13">
        <v>106</v>
      </c>
      <c r="Q678" s="18">
        <v>43934</v>
      </c>
      <c r="R678" s="19">
        <v>1.3194444444444444E-2</v>
      </c>
      <c r="S678" s="17" t="s">
        <v>9</v>
      </c>
      <c r="T678" s="17">
        <v>16.63</v>
      </c>
      <c r="U678" s="17">
        <v>1200</v>
      </c>
    </row>
    <row r="679" spans="5:21" x14ac:dyDescent="0.25">
      <c r="E679" s="10">
        <v>44188</v>
      </c>
      <c r="F679" s="11">
        <v>0.99375000000000002</v>
      </c>
      <c r="G679" t="s">
        <v>24</v>
      </c>
      <c r="H679">
        <v>1.9</v>
      </c>
      <c r="I679">
        <v>880</v>
      </c>
      <c r="K679" s="14">
        <v>43841</v>
      </c>
      <c r="L679" s="15">
        <v>0.30486111111111108</v>
      </c>
      <c r="M679" s="13" t="s">
        <v>11</v>
      </c>
      <c r="N679" s="13">
        <v>2.98</v>
      </c>
      <c r="O679" s="13">
        <v>200</v>
      </c>
      <c r="Q679" s="18">
        <v>43941</v>
      </c>
      <c r="R679" s="19">
        <v>6.9444444444444441E-3</v>
      </c>
      <c r="S679" s="17" t="s">
        <v>9</v>
      </c>
      <c r="T679" s="17">
        <v>8.7200000000000006</v>
      </c>
      <c r="U679" s="17">
        <v>500</v>
      </c>
    </row>
    <row r="680" spans="5:21" x14ac:dyDescent="0.25">
      <c r="E680" s="10">
        <v>44188</v>
      </c>
      <c r="F680" s="11">
        <v>0.97986111111111107</v>
      </c>
      <c r="G680" t="s">
        <v>24</v>
      </c>
      <c r="H680">
        <v>1.72</v>
      </c>
      <c r="I680">
        <v>200</v>
      </c>
      <c r="K680" s="14">
        <v>43841</v>
      </c>
      <c r="L680" s="15">
        <v>0.2951388888888889</v>
      </c>
      <c r="M680" s="13" t="s">
        <v>11</v>
      </c>
      <c r="N680" s="13">
        <v>10.02</v>
      </c>
      <c r="O680" s="13">
        <v>250</v>
      </c>
      <c r="Q680" s="18">
        <v>43934</v>
      </c>
      <c r="R680" s="19">
        <v>0.1986111111111111</v>
      </c>
      <c r="S680" s="17" t="s">
        <v>10</v>
      </c>
      <c r="T680" s="17">
        <v>3.14</v>
      </c>
      <c r="U680" s="17">
        <v>100</v>
      </c>
    </row>
    <row r="681" spans="5:21" x14ac:dyDescent="0.25">
      <c r="E681" s="10">
        <v>44188</v>
      </c>
      <c r="F681" s="11">
        <v>0.97013888888888899</v>
      </c>
      <c r="G681" t="s">
        <v>24</v>
      </c>
      <c r="H681">
        <v>1.08</v>
      </c>
      <c r="I681">
        <v>150</v>
      </c>
      <c r="K681" s="14">
        <v>43841</v>
      </c>
      <c r="L681" s="15">
        <v>0.22013888888888888</v>
      </c>
      <c r="M681" s="13" t="s">
        <v>11</v>
      </c>
      <c r="N681" s="13">
        <v>1.98</v>
      </c>
      <c r="O681" s="13">
        <v>230</v>
      </c>
      <c r="Q681" s="18">
        <v>43945</v>
      </c>
      <c r="R681" s="19">
        <v>0.73611111111111116</v>
      </c>
      <c r="S681" s="17" t="s">
        <v>6</v>
      </c>
      <c r="T681" s="17">
        <v>7.94</v>
      </c>
      <c r="U681" s="17">
        <v>425</v>
      </c>
    </row>
    <row r="682" spans="5:21" x14ac:dyDescent="0.25">
      <c r="E682" s="10">
        <v>44188</v>
      </c>
      <c r="F682" s="11">
        <v>0.94444444444444453</v>
      </c>
      <c r="G682" t="s">
        <v>24</v>
      </c>
      <c r="H682">
        <v>0.9</v>
      </c>
      <c r="I682">
        <v>50</v>
      </c>
      <c r="K682" s="14">
        <v>43841</v>
      </c>
      <c r="L682" s="15">
        <v>0.23750000000000002</v>
      </c>
      <c r="M682" s="13" t="s">
        <v>11</v>
      </c>
      <c r="N682" s="13">
        <v>2.34</v>
      </c>
      <c r="O682" s="13">
        <v>25</v>
      </c>
      <c r="Q682" s="18">
        <v>43986</v>
      </c>
      <c r="R682" s="19">
        <v>0.74375000000000002</v>
      </c>
      <c r="S682" s="17" t="s">
        <v>21</v>
      </c>
      <c r="T682" s="17">
        <v>15.08</v>
      </c>
      <c r="U682" s="17">
        <v>90</v>
      </c>
    </row>
    <row r="683" spans="5:21" x14ac:dyDescent="0.25">
      <c r="E683" s="10">
        <v>44188</v>
      </c>
      <c r="F683" s="11">
        <v>0.93472222222222223</v>
      </c>
      <c r="G683" t="s">
        <v>24</v>
      </c>
      <c r="H683">
        <v>0.72</v>
      </c>
      <c r="I683">
        <v>50</v>
      </c>
      <c r="K683" s="14">
        <v>43841</v>
      </c>
      <c r="L683" s="15">
        <v>0.31944444444444448</v>
      </c>
      <c r="M683" s="13" t="s">
        <v>11</v>
      </c>
      <c r="N683" s="13">
        <v>2.61</v>
      </c>
      <c r="O683" s="13">
        <v>50</v>
      </c>
      <c r="Q683" s="18">
        <v>44014</v>
      </c>
      <c r="R683" s="19">
        <v>0.56180555555555556</v>
      </c>
      <c r="S683" s="17" t="s">
        <v>7</v>
      </c>
      <c r="T683" s="17">
        <v>0.01</v>
      </c>
      <c r="U683" s="17">
        <v>50</v>
      </c>
    </row>
    <row r="684" spans="5:21" x14ac:dyDescent="0.25">
      <c r="E684" s="10">
        <v>44189</v>
      </c>
      <c r="F684" s="11">
        <v>5.9722222222222225E-2</v>
      </c>
      <c r="G684" t="s">
        <v>24</v>
      </c>
      <c r="H684">
        <v>3.89</v>
      </c>
      <c r="I684">
        <v>550</v>
      </c>
      <c r="K684" s="14">
        <v>43841</v>
      </c>
      <c r="L684" s="15">
        <v>0.3</v>
      </c>
      <c r="M684" s="13" t="s">
        <v>11</v>
      </c>
      <c r="N684" s="13">
        <v>7.49</v>
      </c>
      <c r="O684" s="13">
        <v>175</v>
      </c>
      <c r="Q684" s="18">
        <v>43944</v>
      </c>
      <c r="R684" s="19">
        <v>0.14791666666666667</v>
      </c>
      <c r="S684" s="17" t="s">
        <v>24</v>
      </c>
      <c r="T684" s="17">
        <v>1.8</v>
      </c>
      <c r="U684" s="17">
        <v>350</v>
      </c>
    </row>
    <row r="685" spans="5:21" x14ac:dyDescent="0.25">
      <c r="E685" s="10">
        <v>44189</v>
      </c>
      <c r="F685" s="11">
        <v>4.6527777777777779E-2</v>
      </c>
      <c r="G685" t="s">
        <v>24</v>
      </c>
      <c r="H685">
        <v>3.37</v>
      </c>
      <c r="I685">
        <v>50</v>
      </c>
      <c r="K685" s="14">
        <v>43841</v>
      </c>
      <c r="L685" s="15">
        <v>0.31527777777777777</v>
      </c>
      <c r="M685" s="13" t="s">
        <v>11</v>
      </c>
      <c r="N685" s="13">
        <v>10.94</v>
      </c>
      <c r="O685" s="13">
        <v>100</v>
      </c>
      <c r="Q685" s="18">
        <v>44057</v>
      </c>
      <c r="R685" s="19">
        <v>0.67499999999999993</v>
      </c>
      <c r="S685" s="17" t="s">
        <v>28</v>
      </c>
      <c r="T685" s="17">
        <v>2.09</v>
      </c>
      <c r="U685" s="17">
        <v>30</v>
      </c>
    </row>
    <row r="686" spans="5:21" x14ac:dyDescent="0.25">
      <c r="E686" s="10">
        <v>44189</v>
      </c>
      <c r="F686" s="11">
        <v>4.3055555555555562E-2</v>
      </c>
      <c r="G686" t="s">
        <v>24</v>
      </c>
      <c r="H686">
        <v>3.28</v>
      </c>
      <c r="I686">
        <v>100</v>
      </c>
      <c r="K686" s="14">
        <v>43841</v>
      </c>
      <c r="L686" s="15">
        <v>0.29166666666666669</v>
      </c>
      <c r="M686" s="13" t="s">
        <v>11</v>
      </c>
      <c r="N686" s="13">
        <v>4.18</v>
      </c>
      <c r="O686" s="13">
        <v>50</v>
      </c>
      <c r="Q686" s="18">
        <v>43944</v>
      </c>
      <c r="R686" s="19">
        <v>0.68194444444444446</v>
      </c>
      <c r="S686" s="17" t="s">
        <v>19</v>
      </c>
      <c r="T686" s="17">
        <v>10.58</v>
      </c>
      <c r="U686" s="17">
        <v>600</v>
      </c>
    </row>
    <row r="687" spans="5:21" x14ac:dyDescent="0.25">
      <c r="E687" s="10">
        <v>44189</v>
      </c>
      <c r="F687" s="11">
        <v>5.347222222222222E-2</v>
      </c>
      <c r="G687" t="s">
        <v>24</v>
      </c>
      <c r="H687">
        <v>2.66</v>
      </c>
      <c r="I687">
        <v>25</v>
      </c>
      <c r="K687" s="14">
        <v>43841</v>
      </c>
      <c r="L687" s="15">
        <v>0.28472222222222221</v>
      </c>
      <c r="M687" s="13" t="s">
        <v>11</v>
      </c>
      <c r="N687" s="13">
        <v>4.4800000000000004</v>
      </c>
      <c r="O687" s="13">
        <v>75</v>
      </c>
      <c r="Q687" s="18">
        <v>43918</v>
      </c>
      <c r="R687" s="19">
        <v>0.80902777777777779</v>
      </c>
      <c r="S687" s="17" t="s">
        <v>23</v>
      </c>
      <c r="T687" s="17">
        <v>3.8</v>
      </c>
      <c r="U687" s="17">
        <v>50</v>
      </c>
    </row>
    <row r="688" spans="5:21" x14ac:dyDescent="0.25">
      <c r="E688" s="10">
        <v>44189</v>
      </c>
      <c r="F688" s="11">
        <v>1.7361111111111112E-2</v>
      </c>
      <c r="G688" t="s">
        <v>24</v>
      </c>
      <c r="H688">
        <v>1.98</v>
      </c>
      <c r="I688">
        <v>400</v>
      </c>
      <c r="K688" s="14">
        <v>43892</v>
      </c>
      <c r="L688" s="15">
        <v>0.83333333333333337</v>
      </c>
      <c r="M688" s="13" t="s">
        <v>11</v>
      </c>
      <c r="N688" s="13">
        <v>5.51</v>
      </c>
      <c r="O688" s="13">
        <v>400</v>
      </c>
      <c r="Q688" s="18">
        <v>43934</v>
      </c>
      <c r="R688" s="19">
        <v>4.1666666666666664E-2</v>
      </c>
      <c r="S688" s="17" t="s">
        <v>9</v>
      </c>
      <c r="T688" s="17">
        <v>3.68</v>
      </c>
      <c r="U688" s="17">
        <v>300</v>
      </c>
    </row>
    <row r="689" spans="5:21" x14ac:dyDescent="0.25">
      <c r="E689" s="10">
        <v>43971</v>
      </c>
      <c r="F689" s="11">
        <v>0.88680555555555562</v>
      </c>
      <c r="G689" t="s">
        <v>41</v>
      </c>
      <c r="H689">
        <v>0.82</v>
      </c>
      <c r="I689">
        <v>50</v>
      </c>
      <c r="K689" s="14">
        <v>43893</v>
      </c>
      <c r="L689" s="15">
        <v>1.0416666666666666E-2</v>
      </c>
      <c r="M689" s="13" t="s">
        <v>11</v>
      </c>
      <c r="N689" s="13">
        <v>2.7</v>
      </c>
      <c r="O689" s="13">
        <v>250</v>
      </c>
      <c r="Q689" s="18">
        <v>43978</v>
      </c>
      <c r="R689" s="19">
        <v>0.59930555555555554</v>
      </c>
      <c r="S689" s="17" t="s">
        <v>6</v>
      </c>
      <c r="T689" s="17">
        <v>1.45</v>
      </c>
      <c r="U689" s="17">
        <v>75</v>
      </c>
    </row>
    <row r="690" spans="5:21" x14ac:dyDescent="0.25">
      <c r="E690" s="10">
        <v>44019</v>
      </c>
      <c r="F690" s="11">
        <v>0.67361111111111116</v>
      </c>
      <c r="G690" t="s">
        <v>41</v>
      </c>
      <c r="H690">
        <v>0.15</v>
      </c>
      <c r="I690">
        <v>50</v>
      </c>
      <c r="K690" s="14">
        <v>43902</v>
      </c>
      <c r="L690" s="15">
        <v>0.83819444444444446</v>
      </c>
      <c r="M690" s="13" t="s">
        <v>11</v>
      </c>
      <c r="N690" s="13">
        <v>1.66</v>
      </c>
      <c r="O690" s="13">
        <v>175</v>
      </c>
      <c r="Q690" s="18">
        <v>44145</v>
      </c>
      <c r="R690" s="19">
        <v>0.61249999999999993</v>
      </c>
      <c r="S690" s="17" t="s">
        <v>15</v>
      </c>
      <c r="T690" s="17">
        <v>0.32</v>
      </c>
      <c r="U690" s="17">
        <v>30</v>
      </c>
    </row>
    <row r="691" spans="5:21" x14ac:dyDescent="0.25">
      <c r="E691" s="10">
        <v>44019</v>
      </c>
      <c r="F691" s="11">
        <v>0.66527777777777775</v>
      </c>
      <c r="G691" t="s">
        <v>41</v>
      </c>
      <c r="H691">
        <v>0.14000000000000001</v>
      </c>
      <c r="I691">
        <v>20</v>
      </c>
      <c r="K691" s="14">
        <v>43918</v>
      </c>
      <c r="L691" s="15">
        <v>0.8041666666666667</v>
      </c>
      <c r="M691" s="13" t="s">
        <v>11</v>
      </c>
      <c r="N691" s="13">
        <v>0.86</v>
      </c>
      <c r="O691" s="13">
        <v>100</v>
      </c>
      <c r="Q691" s="18">
        <v>44053</v>
      </c>
      <c r="R691" s="19">
        <v>0.54999999999999993</v>
      </c>
      <c r="S691" s="17" t="s">
        <v>15</v>
      </c>
      <c r="T691" s="17">
        <v>4.59</v>
      </c>
      <c r="U691" s="17">
        <v>50</v>
      </c>
    </row>
    <row r="692" spans="5:21" x14ac:dyDescent="0.25">
      <c r="E692" s="10">
        <v>43867</v>
      </c>
      <c r="F692" s="11">
        <v>0.4694444444444445</v>
      </c>
      <c r="G692" t="s">
        <v>14</v>
      </c>
      <c r="H692">
        <v>17.149999999999999</v>
      </c>
      <c r="I692">
        <v>150</v>
      </c>
      <c r="K692" s="14">
        <v>43918</v>
      </c>
      <c r="L692" s="15">
        <v>0.8041666666666667</v>
      </c>
      <c r="M692" s="13" t="s">
        <v>11</v>
      </c>
      <c r="N692" s="13">
        <v>5.0599999999999996</v>
      </c>
      <c r="O692" s="13">
        <v>575</v>
      </c>
      <c r="Q692" s="18">
        <v>44057</v>
      </c>
      <c r="R692" s="19">
        <v>0.60416666666666663</v>
      </c>
      <c r="S692" s="17" t="s">
        <v>25</v>
      </c>
      <c r="T692" s="17">
        <v>0.43</v>
      </c>
      <c r="U692" s="17">
        <v>137</v>
      </c>
    </row>
    <row r="693" spans="5:21" x14ac:dyDescent="0.25">
      <c r="E693" s="10">
        <v>43867</v>
      </c>
      <c r="F693" s="11">
        <v>0.41319444444444442</v>
      </c>
      <c r="G693" t="s">
        <v>14</v>
      </c>
      <c r="H693">
        <v>8.66</v>
      </c>
      <c r="I693">
        <v>150</v>
      </c>
      <c r="K693" s="14">
        <v>43918</v>
      </c>
      <c r="L693" s="15">
        <v>0.79027777777777775</v>
      </c>
      <c r="M693" s="13" t="s">
        <v>11</v>
      </c>
      <c r="N693" s="13">
        <v>16.79</v>
      </c>
      <c r="O693" s="13">
        <v>500</v>
      </c>
      <c r="Q693" s="18">
        <v>44027</v>
      </c>
      <c r="R693" s="19">
        <v>0.6791666666666667</v>
      </c>
      <c r="S693" s="17" t="s">
        <v>15</v>
      </c>
      <c r="T693" s="17">
        <v>4.53</v>
      </c>
      <c r="U693" s="17">
        <v>300</v>
      </c>
    </row>
    <row r="694" spans="5:21" x14ac:dyDescent="0.25">
      <c r="E694" s="10">
        <v>43867</v>
      </c>
      <c r="F694" s="11">
        <v>0.36458333333333331</v>
      </c>
      <c r="G694" t="s">
        <v>14</v>
      </c>
      <c r="H694">
        <v>7.48</v>
      </c>
      <c r="I694">
        <v>100</v>
      </c>
      <c r="K694" s="14">
        <v>43929</v>
      </c>
      <c r="L694" s="15">
        <v>0.88611111111111107</v>
      </c>
      <c r="M694" s="13" t="s">
        <v>11</v>
      </c>
      <c r="N694" s="13">
        <v>1.03</v>
      </c>
      <c r="O694" s="13">
        <v>50</v>
      </c>
      <c r="Q694" s="18">
        <v>43934</v>
      </c>
      <c r="R694" s="19">
        <v>0.31666666666666665</v>
      </c>
      <c r="S694" s="17" t="s">
        <v>14</v>
      </c>
      <c r="T694" s="17">
        <v>0.42</v>
      </c>
      <c r="U694" s="17">
        <v>15</v>
      </c>
    </row>
    <row r="695" spans="5:21" x14ac:dyDescent="0.25">
      <c r="E695" s="10">
        <v>43867</v>
      </c>
      <c r="F695" s="11">
        <v>0.48749999999999999</v>
      </c>
      <c r="G695" t="s">
        <v>14</v>
      </c>
      <c r="H695">
        <v>7.32</v>
      </c>
      <c r="I695">
        <v>400</v>
      </c>
      <c r="K695" s="14">
        <v>43929</v>
      </c>
      <c r="L695" s="15">
        <v>0.89236111111111116</v>
      </c>
      <c r="M695" s="13" t="s">
        <v>11</v>
      </c>
      <c r="N695" s="13">
        <v>1.2</v>
      </c>
      <c r="O695" s="13">
        <v>50</v>
      </c>
      <c r="Q695" s="18">
        <v>43943</v>
      </c>
      <c r="R695" s="19">
        <v>0.70763888888888893</v>
      </c>
      <c r="S695" s="17" t="s">
        <v>33</v>
      </c>
      <c r="T695" s="17">
        <v>0.1</v>
      </c>
      <c r="U695" s="17">
        <v>30</v>
      </c>
    </row>
    <row r="696" spans="5:21" x14ac:dyDescent="0.25">
      <c r="E696" s="10">
        <v>43867</v>
      </c>
      <c r="F696" s="11">
        <v>0.44444444444444442</v>
      </c>
      <c r="G696" t="s">
        <v>14</v>
      </c>
      <c r="H696">
        <v>6.19</v>
      </c>
      <c r="I696">
        <v>75</v>
      </c>
      <c r="K696" s="14">
        <v>43929</v>
      </c>
      <c r="L696" s="15">
        <v>0.86249999999999993</v>
      </c>
      <c r="M696" s="13" t="s">
        <v>11</v>
      </c>
      <c r="N696" s="13">
        <v>1.2</v>
      </c>
      <c r="O696" s="13">
        <v>100</v>
      </c>
      <c r="Q696" s="18">
        <v>43841</v>
      </c>
      <c r="R696" s="19">
        <v>0.7944444444444444</v>
      </c>
      <c r="S696" s="17" t="s">
        <v>10</v>
      </c>
      <c r="T696" s="17">
        <v>0.44</v>
      </c>
      <c r="U696" s="17">
        <v>30</v>
      </c>
    </row>
    <row r="697" spans="5:21" x14ac:dyDescent="0.25">
      <c r="E697" s="10">
        <v>43867</v>
      </c>
      <c r="F697" s="11">
        <v>0.60555555555555551</v>
      </c>
      <c r="G697" t="s">
        <v>14</v>
      </c>
      <c r="H697">
        <v>2.99</v>
      </c>
      <c r="I697">
        <v>75</v>
      </c>
      <c r="K697" s="14">
        <v>43929</v>
      </c>
      <c r="L697" s="15">
        <v>0.86111111111111116</v>
      </c>
      <c r="M697" s="13" t="s">
        <v>11</v>
      </c>
      <c r="N697" s="13">
        <v>2.4</v>
      </c>
      <c r="O697" s="13">
        <v>500</v>
      </c>
      <c r="Q697" s="18">
        <v>43928</v>
      </c>
      <c r="R697" s="19">
        <v>0.89236111111111116</v>
      </c>
      <c r="S697" s="17" t="s">
        <v>27</v>
      </c>
      <c r="T697" s="17">
        <v>11.45</v>
      </c>
      <c r="U697" s="17">
        <v>100</v>
      </c>
    </row>
    <row r="698" spans="5:21" x14ac:dyDescent="0.25">
      <c r="E698" s="10">
        <v>43867</v>
      </c>
      <c r="F698" s="11">
        <v>0.4548611111111111</v>
      </c>
      <c r="G698" t="s">
        <v>14</v>
      </c>
      <c r="H698">
        <v>1.52</v>
      </c>
      <c r="I698">
        <v>50</v>
      </c>
      <c r="K698" s="14">
        <v>43929</v>
      </c>
      <c r="L698" s="15">
        <v>0.86597222222222225</v>
      </c>
      <c r="M698" s="13" t="s">
        <v>11</v>
      </c>
      <c r="N698" s="13">
        <v>19.2</v>
      </c>
      <c r="O698" s="13">
        <v>400</v>
      </c>
      <c r="Q698" s="18">
        <v>43866</v>
      </c>
      <c r="R698" s="19">
        <v>0.83472222222222225</v>
      </c>
      <c r="S698" s="17" t="s">
        <v>21</v>
      </c>
      <c r="T698" s="17">
        <v>6.39</v>
      </c>
      <c r="U698" s="17">
        <v>250</v>
      </c>
    </row>
    <row r="699" spans="5:21" x14ac:dyDescent="0.25">
      <c r="E699" s="10">
        <v>43867</v>
      </c>
      <c r="F699" s="11">
        <v>0.47986111111111113</v>
      </c>
      <c r="G699" t="s">
        <v>14</v>
      </c>
      <c r="H699">
        <v>0.38</v>
      </c>
      <c r="I699">
        <v>100</v>
      </c>
      <c r="K699" s="14">
        <v>43929</v>
      </c>
      <c r="L699" s="15">
        <v>0.8520833333333333</v>
      </c>
      <c r="M699" s="13" t="s">
        <v>11</v>
      </c>
      <c r="N699" s="13">
        <v>0.5</v>
      </c>
      <c r="O699" s="13">
        <v>50</v>
      </c>
      <c r="Q699" s="18">
        <v>44165</v>
      </c>
      <c r="R699" s="19">
        <v>0.56736111111111109</v>
      </c>
      <c r="S699" s="17" t="s">
        <v>18</v>
      </c>
      <c r="T699" s="17">
        <v>3.36</v>
      </c>
      <c r="U699" s="17">
        <v>75</v>
      </c>
    </row>
    <row r="700" spans="5:21" x14ac:dyDescent="0.25">
      <c r="E700" s="10">
        <v>43934</v>
      </c>
      <c r="F700" s="11">
        <v>0.19791666666666666</v>
      </c>
      <c r="G700" t="s">
        <v>14</v>
      </c>
      <c r="H700">
        <v>8.82</v>
      </c>
      <c r="I700">
        <v>200</v>
      </c>
      <c r="K700" s="14">
        <v>43929</v>
      </c>
      <c r="L700" s="15">
        <v>0.88888888888888884</v>
      </c>
      <c r="M700" s="13" t="s">
        <v>11</v>
      </c>
      <c r="N700" s="13">
        <v>4</v>
      </c>
      <c r="O700" s="13">
        <v>45</v>
      </c>
      <c r="Q700" s="18">
        <v>44014</v>
      </c>
      <c r="R700" s="19">
        <v>0.6</v>
      </c>
      <c r="S700" s="17" t="s">
        <v>7</v>
      </c>
      <c r="T700" s="17">
        <v>0.01</v>
      </c>
      <c r="U700" s="17">
        <v>50</v>
      </c>
    </row>
    <row r="701" spans="5:21" x14ac:dyDescent="0.25">
      <c r="E701" s="10">
        <v>43934</v>
      </c>
      <c r="F701" s="11">
        <v>0.29791666666666666</v>
      </c>
      <c r="G701" t="s">
        <v>14</v>
      </c>
      <c r="H701">
        <v>7.82</v>
      </c>
      <c r="I701">
        <v>50</v>
      </c>
      <c r="K701" s="14">
        <v>44127</v>
      </c>
      <c r="L701" s="15">
        <v>0.59583333333333333</v>
      </c>
      <c r="M701" s="13" t="s">
        <v>11</v>
      </c>
      <c r="N701" s="13">
        <v>0.35</v>
      </c>
      <c r="O701" s="13">
        <v>30</v>
      </c>
      <c r="Q701" s="18">
        <v>43907</v>
      </c>
      <c r="R701" s="19">
        <v>0.72291666666666676</v>
      </c>
      <c r="S701" s="17" t="s">
        <v>42</v>
      </c>
      <c r="T701" s="17">
        <v>0.46</v>
      </c>
      <c r="U701" s="17">
        <v>100</v>
      </c>
    </row>
    <row r="702" spans="5:21" x14ac:dyDescent="0.25">
      <c r="E702" s="10">
        <v>43934</v>
      </c>
      <c r="F702" s="11">
        <v>0.31666666666666665</v>
      </c>
      <c r="G702" t="s">
        <v>14</v>
      </c>
      <c r="H702">
        <v>5.5</v>
      </c>
      <c r="I702">
        <v>640</v>
      </c>
      <c r="K702" s="14">
        <v>43965</v>
      </c>
      <c r="L702" s="15">
        <v>0.82847222222222217</v>
      </c>
      <c r="M702" s="13" t="s">
        <v>12</v>
      </c>
      <c r="N702" s="13">
        <v>1.6</v>
      </c>
      <c r="O702" s="13">
        <v>50</v>
      </c>
      <c r="Q702" s="18">
        <v>44053</v>
      </c>
      <c r="R702" s="19">
        <v>0.60763888888888895</v>
      </c>
      <c r="S702" s="17" t="s">
        <v>15</v>
      </c>
      <c r="T702" s="17">
        <v>0.36</v>
      </c>
      <c r="U702" s="17">
        <v>100</v>
      </c>
    </row>
    <row r="703" spans="5:21" x14ac:dyDescent="0.25">
      <c r="E703" s="10">
        <v>43934</v>
      </c>
      <c r="F703" s="11">
        <v>0.18888888888888888</v>
      </c>
      <c r="G703" t="s">
        <v>14</v>
      </c>
      <c r="H703">
        <v>4.53</v>
      </c>
      <c r="I703">
        <v>440</v>
      </c>
      <c r="K703" s="14">
        <v>43965</v>
      </c>
      <c r="L703" s="15">
        <v>0.79513888888888884</v>
      </c>
      <c r="M703" s="13" t="s">
        <v>12</v>
      </c>
      <c r="N703" s="13">
        <v>2.66</v>
      </c>
      <c r="O703" s="13">
        <v>25</v>
      </c>
      <c r="Q703" s="18">
        <v>44053</v>
      </c>
      <c r="R703" s="19">
        <v>0.58680555555555558</v>
      </c>
      <c r="S703" s="17" t="s">
        <v>15</v>
      </c>
      <c r="T703" s="17">
        <v>5.73</v>
      </c>
      <c r="U703" s="17">
        <v>200</v>
      </c>
    </row>
    <row r="704" spans="5:21" x14ac:dyDescent="0.25">
      <c r="E704" s="10">
        <v>43934</v>
      </c>
      <c r="F704" s="11">
        <v>0.30486111111111108</v>
      </c>
      <c r="G704" t="s">
        <v>14</v>
      </c>
      <c r="H704">
        <v>2.84</v>
      </c>
      <c r="I704">
        <v>30</v>
      </c>
      <c r="K704" s="14">
        <v>43965</v>
      </c>
      <c r="L704" s="15">
        <v>0.80555555555555547</v>
      </c>
      <c r="M704" s="13" t="s">
        <v>12</v>
      </c>
      <c r="N704" s="13">
        <v>0.97</v>
      </c>
      <c r="O704" s="13">
        <v>75</v>
      </c>
      <c r="Q704" s="18">
        <v>43841</v>
      </c>
      <c r="R704" s="19">
        <v>7.3611111111111113E-2</v>
      </c>
      <c r="S704" s="17" t="s">
        <v>17</v>
      </c>
      <c r="T704" s="17">
        <v>9.1300000000000008</v>
      </c>
      <c r="U704" s="17">
        <v>300</v>
      </c>
    </row>
    <row r="705" spans="5:21" x14ac:dyDescent="0.25">
      <c r="E705" s="10">
        <v>43934</v>
      </c>
      <c r="F705" s="11">
        <v>0.30069444444444443</v>
      </c>
      <c r="G705" t="s">
        <v>14</v>
      </c>
      <c r="H705">
        <v>2.82</v>
      </c>
      <c r="I705">
        <v>50</v>
      </c>
      <c r="K705" s="14">
        <v>43965</v>
      </c>
      <c r="L705" s="15">
        <v>0.8256944444444444</v>
      </c>
      <c r="M705" s="13" t="s">
        <v>12</v>
      </c>
      <c r="N705" s="13">
        <v>3.69</v>
      </c>
      <c r="O705" s="13">
        <v>50</v>
      </c>
      <c r="Q705" s="18">
        <v>43841</v>
      </c>
      <c r="R705" s="19">
        <v>0.14791666666666667</v>
      </c>
      <c r="S705" s="17" t="s">
        <v>29</v>
      </c>
      <c r="T705" s="17">
        <v>17.66</v>
      </c>
      <c r="U705" s="17">
        <v>850</v>
      </c>
    </row>
    <row r="706" spans="5:21" x14ac:dyDescent="0.25">
      <c r="E706" s="10">
        <v>43934</v>
      </c>
      <c r="F706" s="11">
        <v>0.30833333333333335</v>
      </c>
      <c r="G706" t="s">
        <v>14</v>
      </c>
      <c r="H706">
        <v>1.49</v>
      </c>
      <c r="I706">
        <v>30</v>
      </c>
      <c r="K706" s="14">
        <v>43972</v>
      </c>
      <c r="L706" s="15">
        <v>0.63541666666666663</v>
      </c>
      <c r="M706" s="13" t="s">
        <v>12</v>
      </c>
      <c r="N706" s="13">
        <v>0.56000000000000005</v>
      </c>
      <c r="O706" s="13">
        <v>50</v>
      </c>
      <c r="Q706" s="18">
        <v>44061</v>
      </c>
      <c r="R706" s="19">
        <v>0.57500000000000007</v>
      </c>
      <c r="S706" s="17" t="s">
        <v>19</v>
      </c>
      <c r="T706" s="17">
        <v>4.59</v>
      </c>
      <c r="U706" s="17">
        <v>550</v>
      </c>
    </row>
    <row r="707" spans="5:21" x14ac:dyDescent="0.25">
      <c r="E707" s="10">
        <v>43934</v>
      </c>
      <c r="F707" s="11">
        <v>0.33402777777777781</v>
      </c>
      <c r="G707" t="s">
        <v>14</v>
      </c>
      <c r="H707">
        <v>0.7</v>
      </c>
      <c r="I707">
        <v>75</v>
      </c>
      <c r="K707" s="14">
        <v>43972</v>
      </c>
      <c r="L707" s="15">
        <v>0.6118055555555556</v>
      </c>
      <c r="M707" s="13" t="s">
        <v>12</v>
      </c>
      <c r="N707" s="13">
        <v>7.0000000000000007E-2</v>
      </c>
      <c r="O707" s="13">
        <v>30</v>
      </c>
      <c r="Q707" s="18">
        <v>43841</v>
      </c>
      <c r="R707" s="19">
        <v>0.23333333333333331</v>
      </c>
      <c r="S707" s="17" t="s">
        <v>21</v>
      </c>
      <c r="T707" s="17">
        <v>1.98</v>
      </c>
      <c r="U707" s="17">
        <v>90</v>
      </c>
    </row>
    <row r="708" spans="5:21" x14ac:dyDescent="0.25">
      <c r="E708" s="10">
        <v>43934</v>
      </c>
      <c r="F708" s="11">
        <v>0.25694444444444448</v>
      </c>
      <c r="G708" t="s">
        <v>14</v>
      </c>
      <c r="H708">
        <v>0.57999999999999996</v>
      </c>
      <c r="I708">
        <v>100</v>
      </c>
      <c r="K708" s="14">
        <v>43972</v>
      </c>
      <c r="L708" s="15">
        <v>0.56458333333333333</v>
      </c>
      <c r="M708" s="13" t="s">
        <v>12</v>
      </c>
      <c r="N708" s="13">
        <v>0.01</v>
      </c>
      <c r="O708" s="13">
        <v>50</v>
      </c>
      <c r="Q708" s="18">
        <v>44091</v>
      </c>
      <c r="R708" s="19">
        <v>0.42083333333333334</v>
      </c>
      <c r="S708" s="17" t="s">
        <v>10</v>
      </c>
      <c r="T708" s="17">
        <v>1.01</v>
      </c>
      <c r="U708" s="17">
        <v>25</v>
      </c>
    </row>
    <row r="709" spans="5:21" x14ac:dyDescent="0.25">
      <c r="E709" s="10">
        <v>43934</v>
      </c>
      <c r="F709" s="11">
        <v>0.31666666666666665</v>
      </c>
      <c r="G709" t="s">
        <v>14</v>
      </c>
      <c r="H709">
        <v>0.42</v>
      </c>
      <c r="I709">
        <v>15</v>
      </c>
      <c r="K709" s="14">
        <v>43972</v>
      </c>
      <c r="L709" s="15">
        <v>0.75763888888888886</v>
      </c>
      <c r="M709" s="13" t="s">
        <v>12</v>
      </c>
      <c r="N709" s="13">
        <v>1.76</v>
      </c>
      <c r="O709" s="13">
        <v>150</v>
      </c>
      <c r="Q709" s="18">
        <v>44057</v>
      </c>
      <c r="R709" s="19">
        <v>0.78819444444444453</v>
      </c>
      <c r="S709" s="17" t="s">
        <v>8</v>
      </c>
      <c r="T709" s="17">
        <v>0.4</v>
      </c>
      <c r="U709" s="17">
        <v>50</v>
      </c>
    </row>
    <row r="710" spans="5:21" x14ac:dyDescent="0.25">
      <c r="E710" s="10">
        <v>43934</v>
      </c>
      <c r="F710" s="11">
        <v>0.33680555555555558</v>
      </c>
      <c r="G710" t="s">
        <v>14</v>
      </c>
      <c r="H710">
        <v>0.35</v>
      </c>
      <c r="I710">
        <v>25</v>
      </c>
      <c r="K710" s="14">
        <v>43972</v>
      </c>
      <c r="L710" s="15">
        <v>0.63541666666666663</v>
      </c>
      <c r="M710" s="13" t="s">
        <v>12</v>
      </c>
      <c r="N710" s="13">
        <v>0.31</v>
      </c>
      <c r="O710" s="13">
        <v>50</v>
      </c>
      <c r="Q710" s="18">
        <v>43903</v>
      </c>
      <c r="R710" s="19">
        <v>0.63541666666666663</v>
      </c>
      <c r="S710" s="17" t="s">
        <v>42</v>
      </c>
      <c r="T710" s="17">
        <v>0.57999999999999996</v>
      </c>
      <c r="U710" s="17">
        <v>50</v>
      </c>
    </row>
    <row r="711" spans="5:21" x14ac:dyDescent="0.25">
      <c r="E711" s="10">
        <v>43934</v>
      </c>
      <c r="F711" s="11">
        <v>0.34375</v>
      </c>
      <c r="G711" t="s">
        <v>14</v>
      </c>
      <c r="H711">
        <v>0.31</v>
      </c>
      <c r="I711">
        <v>29</v>
      </c>
      <c r="K711" s="14">
        <v>43972</v>
      </c>
      <c r="L711" s="15">
        <v>0.71250000000000002</v>
      </c>
      <c r="M711" s="13" t="s">
        <v>12</v>
      </c>
      <c r="N711" s="13">
        <v>7.0000000000000007E-2</v>
      </c>
      <c r="O711" s="13">
        <v>50</v>
      </c>
      <c r="Q711" s="18">
        <v>43976</v>
      </c>
      <c r="R711" s="19">
        <v>0.5625</v>
      </c>
      <c r="S711" s="17" t="s">
        <v>17</v>
      </c>
      <c r="T711" s="17">
        <v>0.01</v>
      </c>
      <c r="U711" s="17">
        <v>20</v>
      </c>
    </row>
    <row r="712" spans="5:21" x14ac:dyDescent="0.25">
      <c r="E712" s="10">
        <v>43934</v>
      </c>
      <c r="F712" s="11">
        <v>0.34722222222222227</v>
      </c>
      <c r="G712" t="s">
        <v>14</v>
      </c>
      <c r="H712">
        <v>0.27</v>
      </c>
      <c r="I712">
        <v>75</v>
      </c>
      <c r="K712" s="14">
        <v>43974</v>
      </c>
      <c r="L712" s="15">
        <v>0.75486111111111109</v>
      </c>
      <c r="M712" s="13" t="s">
        <v>12</v>
      </c>
      <c r="N712" s="13">
        <v>1.1100000000000001</v>
      </c>
      <c r="O712" s="13">
        <v>50</v>
      </c>
      <c r="Q712" s="18">
        <v>44091</v>
      </c>
      <c r="R712" s="19">
        <v>0.40486111111111112</v>
      </c>
      <c r="S712" s="17" t="s">
        <v>10</v>
      </c>
      <c r="T712" s="17">
        <v>5.88</v>
      </c>
      <c r="U712" s="17">
        <v>50</v>
      </c>
    </row>
    <row r="713" spans="5:21" x14ac:dyDescent="0.25">
      <c r="E713" s="10">
        <v>43934</v>
      </c>
      <c r="F713" s="11">
        <v>0.19027777777777777</v>
      </c>
      <c r="G713" t="s">
        <v>14</v>
      </c>
      <c r="H713">
        <v>0.19</v>
      </c>
      <c r="I713">
        <v>75</v>
      </c>
      <c r="K713" s="14">
        <v>43984</v>
      </c>
      <c r="L713" s="15">
        <v>0.62638888888888888</v>
      </c>
      <c r="M713" s="13" t="s">
        <v>12</v>
      </c>
      <c r="N713" s="13">
        <v>0.56999999999999995</v>
      </c>
      <c r="O713" s="13">
        <v>30</v>
      </c>
      <c r="Q713" s="18">
        <v>43841</v>
      </c>
      <c r="R713" s="19">
        <v>0.31527777777777777</v>
      </c>
      <c r="S713" s="17" t="s">
        <v>11</v>
      </c>
      <c r="T713" s="17">
        <v>10.94</v>
      </c>
      <c r="U713" s="17">
        <v>100</v>
      </c>
    </row>
    <row r="714" spans="5:21" x14ac:dyDescent="0.25">
      <c r="E714" s="10">
        <v>43934</v>
      </c>
      <c r="F714" s="11">
        <v>0.31388888888888888</v>
      </c>
      <c r="G714" t="s">
        <v>14</v>
      </c>
      <c r="H714">
        <v>0.08</v>
      </c>
      <c r="I714">
        <v>15</v>
      </c>
      <c r="K714" s="14">
        <v>43991</v>
      </c>
      <c r="L714" s="15">
        <v>0.72638888888888886</v>
      </c>
      <c r="M714" s="13" t="s">
        <v>12</v>
      </c>
      <c r="N714" s="13">
        <v>0.01</v>
      </c>
      <c r="O714" s="13">
        <v>10</v>
      </c>
      <c r="Q714" s="18">
        <v>43968</v>
      </c>
      <c r="R714" s="19">
        <v>0.79166666666666663</v>
      </c>
      <c r="S714" s="17" t="s">
        <v>26</v>
      </c>
      <c r="T714" s="17">
        <v>0.2</v>
      </c>
      <c r="U714" s="17">
        <v>10</v>
      </c>
    </row>
    <row r="715" spans="5:21" x14ac:dyDescent="0.25">
      <c r="E715" s="10">
        <v>43934</v>
      </c>
      <c r="F715" s="11">
        <v>0.33888888888888885</v>
      </c>
      <c r="G715" t="s">
        <v>14</v>
      </c>
      <c r="H715">
        <v>0.08</v>
      </c>
      <c r="I715">
        <v>60</v>
      </c>
      <c r="K715" s="14">
        <v>44003</v>
      </c>
      <c r="L715" s="15">
        <v>0.57638888888888895</v>
      </c>
      <c r="M715" s="13" t="s">
        <v>12</v>
      </c>
      <c r="N715" s="13">
        <v>5.82</v>
      </c>
      <c r="O715" s="13">
        <v>100</v>
      </c>
      <c r="Q715" s="18">
        <v>43866</v>
      </c>
      <c r="R715" s="19">
        <v>0.95208333333333339</v>
      </c>
      <c r="S715" s="17" t="s">
        <v>24</v>
      </c>
      <c r="T715" s="17">
        <v>59.85</v>
      </c>
      <c r="U715" s="17">
        <v>1320</v>
      </c>
    </row>
    <row r="716" spans="5:21" x14ac:dyDescent="0.25">
      <c r="E716" s="10">
        <v>43972</v>
      </c>
      <c r="F716" s="11">
        <v>0.5805555555555556</v>
      </c>
      <c r="G716" t="s">
        <v>14</v>
      </c>
      <c r="H716">
        <v>0.2</v>
      </c>
      <c r="I716">
        <v>200</v>
      </c>
      <c r="K716" s="14">
        <v>44013</v>
      </c>
      <c r="L716" s="15">
        <v>0.7729166666666667</v>
      </c>
      <c r="M716" s="13" t="s">
        <v>12</v>
      </c>
      <c r="N716" s="13">
        <v>6.2</v>
      </c>
      <c r="O716" s="13">
        <v>100</v>
      </c>
      <c r="Q716" s="18">
        <v>43974</v>
      </c>
      <c r="R716" s="19">
        <v>0.64583333333333337</v>
      </c>
      <c r="S716" s="17" t="s">
        <v>15</v>
      </c>
      <c r="T716" s="17">
        <v>0.3</v>
      </c>
      <c r="U716" s="17">
        <v>100</v>
      </c>
    </row>
    <row r="717" spans="5:21" x14ac:dyDescent="0.25">
      <c r="E717" s="10">
        <v>43973</v>
      </c>
      <c r="F717" s="11">
        <v>0.57222222222222219</v>
      </c>
      <c r="G717" t="s">
        <v>14</v>
      </c>
      <c r="H717">
        <v>8.6300000000000008</v>
      </c>
      <c r="I717">
        <v>100</v>
      </c>
      <c r="K717" s="14">
        <v>44057</v>
      </c>
      <c r="L717" s="15">
        <v>0.65902777777777777</v>
      </c>
      <c r="M717" s="13" t="s">
        <v>12</v>
      </c>
      <c r="N717" s="13">
        <v>1.34</v>
      </c>
      <c r="O717" s="13">
        <v>100</v>
      </c>
      <c r="Q717" s="18">
        <v>43933</v>
      </c>
      <c r="R717" s="19">
        <v>0.67638888888888893</v>
      </c>
      <c r="S717" s="17" t="s">
        <v>20</v>
      </c>
      <c r="T717" s="17">
        <v>6.91</v>
      </c>
      <c r="U717" s="17">
        <v>940</v>
      </c>
    </row>
    <row r="718" spans="5:21" x14ac:dyDescent="0.25">
      <c r="E718" s="10">
        <v>43978</v>
      </c>
      <c r="F718" s="11">
        <v>0.71388888888888891</v>
      </c>
      <c r="G718" t="s">
        <v>14</v>
      </c>
      <c r="H718">
        <v>0.17</v>
      </c>
      <c r="I718">
        <v>150</v>
      </c>
      <c r="K718" s="14">
        <v>44057</v>
      </c>
      <c r="L718" s="15">
        <v>0.64583333333333337</v>
      </c>
      <c r="M718" s="13" t="s">
        <v>12</v>
      </c>
      <c r="N718" s="13">
        <v>1.24</v>
      </c>
      <c r="O718" s="13">
        <v>50</v>
      </c>
      <c r="Q718" s="18">
        <v>43934</v>
      </c>
      <c r="R718" s="19">
        <v>0.29791666666666666</v>
      </c>
      <c r="S718" s="17" t="s">
        <v>14</v>
      </c>
      <c r="T718" s="17">
        <v>7.82</v>
      </c>
      <c r="U718" s="17">
        <v>50</v>
      </c>
    </row>
    <row r="719" spans="5:21" x14ac:dyDescent="0.25">
      <c r="E719" s="10">
        <v>44046</v>
      </c>
      <c r="F719" s="11">
        <v>0.96875</v>
      </c>
      <c r="G719" t="s">
        <v>14</v>
      </c>
      <c r="H719">
        <v>10</v>
      </c>
      <c r="I719">
        <v>600</v>
      </c>
      <c r="K719" s="14">
        <v>43918</v>
      </c>
      <c r="L719" s="15">
        <v>0.80486111111111114</v>
      </c>
      <c r="M719" s="13" t="s">
        <v>22</v>
      </c>
      <c r="N719" s="13">
        <v>4.2</v>
      </c>
      <c r="O719" s="13">
        <v>575</v>
      </c>
      <c r="Q719" s="18">
        <v>44020</v>
      </c>
      <c r="R719" s="19">
        <v>0.93680555555555556</v>
      </c>
      <c r="S719" s="17" t="s">
        <v>28</v>
      </c>
      <c r="T719" s="17">
        <v>4.21</v>
      </c>
      <c r="U719" s="17">
        <v>130</v>
      </c>
    </row>
    <row r="720" spans="5:21" x14ac:dyDescent="0.25">
      <c r="E720" s="10">
        <v>44046</v>
      </c>
      <c r="F720" s="11">
        <v>0.74652777777777779</v>
      </c>
      <c r="G720" t="s">
        <v>14</v>
      </c>
      <c r="H720">
        <v>8.3000000000000007</v>
      </c>
      <c r="I720">
        <v>80</v>
      </c>
      <c r="K720" s="14">
        <v>43929</v>
      </c>
      <c r="L720" s="15">
        <v>0.77986111111111101</v>
      </c>
      <c r="M720" s="13" t="s">
        <v>22</v>
      </c>
      <c r="N720" s="13">
        <v>0.97</v>
      </c>
      <c r="O720" s="13">
        <v>35</v>
      </c>
      <c r="Q720" s="18">
        <v>44027</v>
      </c>
      <c r="R720" s="19">
        <v>0.64444444444444449</v>
      </c>
      <c r="S720" s="17" t="s">
        <v>15</v>
      </c>
      <c r="T720" s="17">
        <v>4.1399999999999997</v>
      </c>
      <c r="U720" s="17">
        <v>50</v>
      </c>
    </row>
    <row r="721" spans="5:21" x14ac:dyDescent="0.25">
      <c r="E721" s="10">
        <v>44046</v>
      </c>
      <c r="F721" s="11">
        <v>0.77986111111111101</v>
      </c>
      <c r="G721" t="s">
        <v>14</v>
      </c>
      <c r="H721">
        <v>2.59</v>
      </c>
      <c r="I721">
        <v>30</v>
      </c>
      <c r="K721" s="14">
        <v>43929</v>
      </c>
      <c r="L721" s="15">
        <v>0.84097222222222223</v>
      </c>
      <c r="M721" s="13" t="s">
        <v>22</v>
      </c>
      <c r="N721" s="13">
        <v>0.15</v>
      </c>
      <c r="O721" s="13">
        <v>60</v>
      </c>
      <c r="Q721" s="18">
        <v>43921</v>
      </c>
      <c r="R721" s="19">
        <v>0.39861111111111108</v>
      </c>
      <c r="S721" s="17" t="s">
        <v>20</v>
      </c>
      <c r="T721" s="17">
        <v>1.61</v>
      </c>
      <c r="U721" s="17">
        <v>80</v>
      </c>
    </row>
    <row r="722" spans="5:21" x14ac:dyDescent="0.25">
      <c r="E722" s="10">
        <v>44046</v>
      </c>
      <c r="F722" s="11">
        <v>0.89097222222222217</v>
      </c>
      <c r="G722" t="s">
        <v>14</v>
      </c>
      <c r="H722">
        <v>2.33</v>
      </c>
      <c r="I722">
        <v>40</v>
      </c>
      <c r="K722" s="14">
        <v>43929</v>
      </c>
      <c r="L722" s="15">
        <v>0.84236111111111101</v>
      </c>
      <c r="M722" s="13" t="s">
        <v>22</v>
      </c>
      <c r="N722" s="13">
        <v>5.73</v>
      </c>
      <c r="O722" s="13">
        <v>450</v>
      </c>
      <c r="Q722" s="18">
        <v>43974</v>
      </c>
      <c r="R722" s="19">
        <v>0.51388888888888895</v>
      </c>
      <c r="S722" s="17" t="s">
        <v>23</v>
      </c>
      <c r="T722" s="17">
        <v>1.19</v>
      </c>
      <c r="U722" s="17">
        <v>20</v>
      </c>
    </row>
    <row r="723" spans="5:21" x14ac:dyDescent="0.25">
      <c r="E723" s="10">
        <v>44046</v>
      </c>
      <c r="F723" s="11">
        <v>0.76041666666666663</v>
      </c>
      <c r="G723" t="s">
        <v>14</v>
      </c>
      <c r="H723">
        <v>1.6</v>
      </c>
      <c r="I723">
        <v>20</v>
      </c>
      <c r="K723" s="14">
        <v>43929</v>
      </c>
      <c r="L723" s="15">
        <v>0.83263888888888893</v>
      </c>
      <c r="M723" s="13" t="s">
        <v>22</v>
      </c>
      <c r="N723" s="13">
        <v>2.4900000000000002</v>
      </c>
      <c r="O723" s="13">
        <v>450</v>
      </c>
      <c r="Q723" s="18">
        <v>44075</v>
      </c>
      <c r="R723" s="19">
        <v>0.58819444444444446</v>
      </c>
      <c r="S723" s="17" t="s">
        <v>29</v>
      </c>
      <c r="T723" s="17">
        <v>5.3</v>
      </c>
      <c r="U723" s="17">
        <v>150</v>
      </c>
    </row>
    <row r="724" spans="5:21" x14ac:dyDescent="0.25">
      <c r="E724" s="10">
        <v>44046</v>
      </c>
      <c r="F724" s="11">
        <v>0.83263888888888893</v>
      </c>
      <c r="G724" t="s">
        <v>14</v>
      </c>
      <c r="H724">
        <v>1.48</v>
      </c>
      <c r="I724">
        <v>40</v>
      </c>
      <c r="K724" s="14">
        <v>43929</v>
      </c>
      <c r="L724" s="15">
        <v>0.84236111111111101</v>
      </c>
      <c r="M724" s="13" t="s">
        <v>22</v>
      </c>
      <c r="N724" s="13">
        <v>5.25</v>
      </c>
      <c r="O724" s="13">
        <v>200</v>
      </c>
      <c r="Q724" s="18">
        <v>43892</v>
      </c>
      <c r="R724" s="19">
        <v>0.94513888888888886</v>
      </c>
      <c r="S724" s="17" t="s">
        <v>21</v>
      </c>
      <c r="T724" s="17">
        <v>14.8</v>
      </c>
      <c r="U724" s="17">
        <v>100</v>
      </c>
    </row>
    <row r="725" spans="5:21" x14ac:dyDescent="0.25">
      <c r="E725" s="10">
        <v>44046</v>
      </c>
      <c r="F725" s="11">
        <v>0.95138888888888884</v>
      </c>
      <c r="G725" t="s">
        <v>14</v>
      </c>
      <c r="H725">
        <v>0.71</v>
      </c>
      <c r="I725">
        <v>180</v>
      </c>
      <c r="K725" s="14">
        <v>43929</v>
      </c>
      <c r="L725" s="15">
        <v>0.84027777777777779</v>
      </c>
      <c r="M725" s="13" t="s">
        <v>22</v>
      </c>
      <c r="N725" s="13">
        <v>0.96</v>
      </c>
      <c r="O725" s="13">
        <v>150</v>
      </c>
      <c r="Q725" s="18">
        <v>43929</v>
      </c>
      <c r="R725" s="19">
        <v>0.87569444444444444</v>
      </c>
      <c r="S725" s="17" t="s">
        <v>27</v>
      </c>
      <c r="T725" s="17">
        <v>0.88</v>
      </c>
      <c r="U725" s="17">
        <v>50</v>
      </c>
    </row>
    <row r="726" spans="5:21" x14ac:dyDescent="0.25">
      <c r="E726" s="10">
        <v>44046</v>
      </c>
      <c r="F726" s="11">
        <v>0.76041666666666663</v>
      </c>
      <c r="G726" t="s">
        <v>14</v>
      </c>
      <c r="H726">
        <v>0.27</v>
      </c>
      <c r="I726">
        <v>25</v>
      </c>
      <c r="K726" s="14">
        <v>43929</v>
      </c>
      <c r="L726" s="15">
        <v>0.83750000000000002</v>
      </c>
      <c r="M726" s="13" t="s">
        <v>22</v>
      </c>
      <c r="N726" s="13">
        <v>0.18</v>
      </c>
      <c r="O726" s="13">
        <v>75</v>
      </c>
      <c r="Q726" s="18">
        <v>44189</v>
      </c>
      <c r="R726" s="19">
        <v>5.347222222222222E-2</v>
      </c>
      <c r="S726" s="17" t="s">
        <v>24</v>
      </c>
      <c r="T726" s="17">
        <v>2.66</v>
      </c>
      <c r="U726" s="17">
        <v>25</v>
      </c>
    </row>
    <row r="727" spans="5:21" x14ac:dyDescent="0.25">
      <c r="E727" s="10">
        <v>44046</v>
      </c>
      <c r="F727" s="11">
        <v>0.9291666666666667</v>
      </c>
      <c r="G727" t="s">
        <v>14</v>
      </c>
      <c r="H727">
        <v>0.19</v>
      </c>
      <c r="I727">
        <v>70</v>
      </c>
      <c r="K727" s="14">
        <v>43929</v>
      </c>
      <c r="L727" s="15">
        <v>0.83888888888888891</v>
      </c>
      <c r="M727" s="13" t="s">
        <v>22</v>
      </c>
      <c r="N727" s="13">
        <v>2.6</v>
      </c>
      <c r="O727" s="13">
        <v>220</v>
      </c>
      <c r="Q727" s="18">
        <v>44000</v>
      </c>
      <c r="R727" s="19">
        <v>0.73402777777777783</v>
      </c>
      <c r="S727" s="17" t="s">
        <v>23</v>
      </c>
      <c r="T727" s="17">
        <v>0.72</v>
      </c>
      <c r="U727" s="17">
        <v>30</v>
      </c>
    </row>
    <row r="728" spans="5:21" x14ac:dyDescent="0.25">
      <c r="E728" s="10">
        <v>44046</v>
      </c>
      <c r="F728" s="11">
        <v>0.91805555555555562</v>
      </c>
      <c r="G728" t="s">
        <v>14</v>
      </c>
      <c r="H728">
        <v>0.17</v>
      </c>
      <c r="I728">
        <v>40</v>
      </c>
      <c r="K728" s="14">
        <v>43946</v>
      </c>
      <c r="L728" s="15">
        <v>0.51736111111111105</v>
      </c>
      <c r="M728" s="13" t="s">
        <v>22</v>
      </c>
      <c r="N728" s="13">
        <v>0.37</v>
      </c>
      <c r="O728" s="13">
        <v>40</v>
      </c>
      <c r="Q728" s="18">
        <v>43944</v>
      </c>
      <c r="R728" s="19">
        <v>0.57708333333333328</v>
      </c>
      <c r="S728" s="17" t="s">
        <v>19</v>
      </c>
      <c r="T728" s="17">
        <v>2.7</v>
      </c>
      <c r="U728" s="17">
        <v>50</v>
      </c>
    </row>
    <row r="729" spans="5:21" x14ac:dyDescent="0.25">
      <c r="E729" s="10">
        <v>44046</v>
      </c>
      <c r="F729" s="11">
        <v>0.95000000000000007</v>
      </c>
      <c r="G729" t="s">
        <v>14</v>
      </c>
      <c r="H729">
        <v>0.08</v>
      </c>
      <c r="I729">
        <v>50</v>
      </c>
      <c r="K729" s="14">
        <v>44019</v>
      </c>
      <c r="L729" s="15">
        <v>0.61875000000000002</v>
      </c>
      <c r="M729" s="13" t="s">
        <v>22</v>
      </c>
      <c r="N729" s="13">
        <v>0.48</v>
      </c>
      <c r="O729" s="13">
        <v>30</v>
      </c>
      <c r="Q729" s="18">
        <v>43944</v>
      </c>
      <c r="R729" s="19">
        <v>0.7993055555555556</v>
      </c>
      <c r="S729" s="17" t="s">
        <v>19</v>
      </c>
      <c r="T729" s="17">
        <v>0.6</v>
      </c>
      <c r="U729" s="17">
        <v>50</v>
      </c>
    </row>
    <row r="730" spans="5:21" x14ac:dyDescent="0.25">
      <c r="E730" s="10">
        <v>44047</v>
      </c>
      <c r="F730" s="11">
        <v>7.6388888888888886E-3</v>
      </c>
      <c r="G730" t="s">
        <v>14</v>
      </c>
      <c r="H730">
        <v>5</v>
      </c>
      <c r="I730">
        <v>100</v>
      </c>
      <c r="K730" s="14">
        <v>44027</v>
      </c>
      <c r="L730" s="15">
        <v>0.94444444444444453</v>
      </c>
      <c r="M730" s="13" t="s">
        <v>22</v>
      </c>
      <c r="N730" s="13">
        <v>4.33</v>
      </c>
      <c r="O730" s="13">
        <v>80</v>
      </c>
      <c r="Q730" s="18">
        <v>43841</v>
      </c>
      <c r="R730" s="19">
        <v>0.29166666666666669</v>
      </c>
      <c r="S730" s="17" t="s">
        <v>11</v>
      </c>
      <c r="T730" s="17">
        <v>4.18</v>
      </c>
      <c r="U730" s="17">
        <v>50</v>
      </c>
    </row>
    <row r="731" spans="5:21" x14ac:dyDescent="0.25">
      <c r="E731" s="10">
        <v>44047</v>
      </c>
      <c r="F731" s="11">
        <v>2.5694444444444447E-2</v>
      </c>
      <c r="G731" t="s">
        <v>14</v>
      </c>
      <c r="H731">
        <v>3</v>
      </c>
      <c r="I731">
        <v>50</v>
      </c>
      <c r="K731" s="14">
        <v>44053</v>
      </c>
      <c r="L731" s="15">
        <v>0.73819444444444438</v>
      </c>
      <c r="M731" s="13" t="s">
        <v>22</v>
      </c>
      <c r="N731" s="13">
        <v>0.23</v>
      </c>
      <c r="O731" s="13">
        <v>50</v>
      </c>
      <c r="Q731" s="18">
        <v>44047</v>
      </c>
      <c r="R731" s="19">
        <v>4.7222222222222221E-2</v>
      </c>
      <c r="S731" s="17" t="s">
        <v>35</v>
      </c>
      <c r="T731" s="17">
        <v>11.7</v>
      </c>
      <c r="U731" s="17">
        <v>100</v>
      </c>
    </row>
    <row r="732" spans="5:21" x14ac:dyDescent="0.25">
      <c r="E732" s="10">
        <v>44091</v>
      </c>
      <c r="F732" s="11">
        <v>0.81111111111111101</v>
      </c>
      <c r="G732" t="s">
        <v>14</v>
      </c>
      <c r="H732">
        <v>0.15</v>
      </c>
      <c r="I732">
        <v>20</v>
      </c>
      <c r="K732" s="14">
        <v>44053</v>
      </c>
      <c r="L732" s="15">
        <v>0.63541666666666663</v>
      </c>
      <c r="M732" s="13" t="s">
        <v>22</v>
      </c>
      <c r="N732" s="13">
        <v>0.86</v>
      </c>
      <c r="O732" s="13">
        <v>40</v>
      </c>
      <c r="Q732" s="18">
        <v>43990</v>
      </c>
      <c r="R732" s="19">
        <v>0.7680555555555556</v>
      </c>
      <c r="S732" s="17" t="s">
        <v>28</v>
      </c>
      <c r="T732" s="17">
        <v>0.01</v>
      </c>
      <c r="U732" s="17">
        <v>10</v>
      </c>
    </row>
    <row r="733" spans="5:21" x14ac:dyDescent="0.25">
      <c r="E733" s="10">
        <v>44091</v>
      </c>
      <c r="F733" s="11">
        <v>0.8027777777777777</v>
      </c>
      <c r="G733" t="s">
        <v>14</v>
      </c>
      <c r="H733">
        <v>0.15</v>
      </c>
      <c r="I733">
        <v>25</v>
      </c>
      <c r="K733" s="14">
        <v>44053</v>
      </c>
      <c r="L733" s="15">
        <v>0.68888888888888899</v>
      </c>
      <c r="M733" s="13" t="s">
        <v>22</v>
      </c>
      <c r="N733" s="13">
        <v>2.41</v>
      </c>
      <c r="O733" s="13">
        <v>100</v>
      </c>
      <c r="Q733" s="18">
        <v>43944</v>
      </c>
      <c r="R733" s="19">
        <v>0.23402777777777781</v>
      </c>
      <c r="S733" s="17" t="s">
        <v>20</v>
      </c>
      <c r="T733" s="17">
        <v>0.55000000000000004</v>
      </c>
      <c r="U733" s="17">
        <v>75</v>
      </c>
    </row>
    <row r="734" spans="5:21" x14ac:dyDescent="0.25">
      <c r="E734" s="10">
        <v>44091</v>
      </c>
      <c r="F734" s="11">
        <v>0.98125000000000007</v>
      </c>
      <c r="G734" t="s">
        <v>14</v>
      </c>
      <c r="H734">
        <v>0.1</v>
      </c>
      <c r="I734">
        <v>20</v>
      </c>
      <c r="K734" s="14">
        <v>44053</v>
      </c>
      <c r="L734" s="15">
        <v>0.70486111111111116</v>
      </c>
      <c r="M734" s="13" t="s">
        <v>22</v>
      </c>
      <c r="N734" s="13">
        <v>3.1</v>
      </c>
      <c r="O734" s="13">
        <v>100</v>
      </c>
      <c r="Q734" s="18">
        <v>43933</v>
      </c>
      <c r="R734" s="19">
        <v>0.71527777777777779</v>
      </c>
      <c r="S734" s="17" t="s">
        <v>24</v>
      </c>
      <c r="T734" s="17">
        <v>8.8699999999999992</v>
      </c>
      <c r="U734" s="17">
        <v>985</v>
      </c>
    </row>
    <row r="735" spans="5:21" x14ac:dyDescent="0.25">
      <c r="E735" s="10">
        <v>44091</v>
      </c>
      <c r="F735" s="11">
        <v>0.76180555555555562</v>
      </c>
      <c r="G735" t="s">
        <v>14</v>
      </c>
      <c r="H735">
        <v>0.09</v>
      </c>
      <c r="I735">
        <v>20</v>
      </c>
      <c r="K735" s="14">
        <v>43841</v>
      </c>
      <c r="L735" s="15">
        <v>8.4722222222222213E-2</v>
      </c>
      <c r="M735" s="13" t="s">
        <v>15</v>
      </c>
      <c r="N735" s="13">
        <v>0.86</v>
      </c>
      <c r="O735" s="13">
        <v>50</v>
      </c>
      <c r="Q735" s="18">
        <v>43933</v>
      </c>
      <c r="R735" s="19">
        <v>0.81458333333333333</v>
      </c>
      <c r="S735" s="17" t="s">
        <v>20</v>
      </c>
      <c r="T735" s="17">
        <v>9.86</v>
      </c>
      <c r="U735" s="17">
        <v>230</v>
      </c>
    </row>
    <row r="736" spans="5:21" x14ac:dyDescent="0.25">
      <c r="E736" s="10">
        <v>44115</v>
      </c>
      <c r="F736" s="11">
        <v>0.66041666666666665</v>
      </c>
      <c r="G736" t="s">
        <v>14</v>
      </c>
      <c r="H736">
        <v>5.49</v>
      </c>
      <c r="I736">
        <v>30</v>
      </c>
      <c r="K736" s="14">
        <v>43909</v>
      </c>
      <c r="L736" s="15">
        <v>0.64027777777777783</v>
      </c>
      <c r="M736" s="13" t="s">
        <v>15</v>
      </c>
      <c r="N736" s="13">
        <v>2.9</v>
      </c>
      <c r="O736" s="13">
        <v>300</v>
      </c>
      <c r="Q736" s="18">
        <v>44023</v>
      </c>
      <c r="R736" s="19">
        <v>0.50416666666666665</v>
      </c>
      <c r="S736" s="17" t="s">
        <v>8</v>
      </c>
      <c r="T736" s="17">
        <v>1.5</v>
      </c>
      <c r="U736" s="17">
        <v>30</v>
      </c>
    </row>
    <row r="737" spans="5:21" x14ac:dyDescent="0.25">
      <c r="E737" s="10">
        <v>44189</v>
      </c>
      <c r="F737" s="11">
        <v>0.4694444444444445</v>
      </c>
      <c r="G737" t="s">
        <v>14</v>
      </c>
      <c r="H737">
        <v>0.14000000000000001</v>
      </c>
      <c r="I737">
        <v>20</v>
      </c>
      <c r="K737" s="14">
        <v>43909</v>
      </c>
      <c r="L737" s="15">
        <v>0.61388888888888882</v>
      </c>
      <c r="M737" s="13" t="s">
        <v>15</v>
      </c>
      <c r="N737" s="13">
        <v>3.17</v>
      </c>
      <c r="O737" s="13">
        <v>125</v>
      </c>
      <c r="Q737" s="18">
        <v>44071</v>
      </c>
      <c r="R737" s="19">
        <v>4.7916666666666663E-2</v>
      </c>
      <c r="S737" s="17" t="s">
        <v>16</v>
      </c>
      <c r="T737" s="17">
        <v>0.21</v>
      </c>
      <c r="U737" s="17">
        <v>20</v>
      </c>
    </row>
    <row r="738" spans="5:21" x14ac:dyDescent="0.25">
      <c r="E738" s="10">
        <v>43974</v>
      </c>
      <c r="F738" s="11">
        <v>0.74444444444444446</v>
      </c>
      <c r="G738" t="s">
        <v>31</v>
      </c>
      <c r="H738">
        <v>0.1</v>
      </c>
      <c r="I738">
        <v>20</v>
      </c>
      <c r="K738" s="14">
        <v>43918</v>
      </c>
      <c r="L738" s="15">
        <v>0.80555555555555547</v>
      </c>
      <c r="M738" s="13" t="s">
        <v>15</v>
      </c>
      <c r="N738" s="13">
        <v>2.17</v>
      </c>
      <c r="O738" s="13">
        <v>20</v>
      </c>
      <c r="Q738" s="18">
        <v>43944</v>
      </c>
      <c r="R738" s="19">
        <v>0.54097222222222219</v>
      </c>
      <c r="S738" s="17" t="s">
        <v>9</v>
      </c>
      <c r="T738" s="17">
        <v>0.47</v>
      </c>
      <c r="U738" s="17">
        <v>50</v>
      </c>
    </row>
    <row r="739" spans="5:21" x14ac:dyDescent="0.25">
      <c r="E739" s="10">
        <v>43989</v>
      </c>
      <c r="F739" s="11">
        <v>0.76388888888888884</v>
      </c>
      <c r="G739" t="s">
        <v>31</v>
      </c>
      <c r="H739">
        <v>0.42</v>
      </c>
      <c r="I739">
        <v>30</v>
      </c>
      <c r="K739" s="14">
        <v>43918</v>
      </c>
      <c r="L739" s="15">
        <v>0.69374999999999998</v>
      </c>
      <c r="M739" s="13" t="s">
        <v>15</v>
      </c>
      <c r="N739" s="13">
        <v>0.12</v>
      </c>
      <c r="O739" s="13">
        <v>10</v>
      </c>
      <c r="Q739" s="18">
        <v>44028</v>
      </c>
      <c r="R739" s="19">
        <v>0.67013888888888884</v>
      </c>
      <c r="S739" s="17" t="s">
        <v>19</v>
      </c>
      <c r="T739" s="17">
        <v>0.16</v>
      </c>
      <c r="U739" s="17">
        <v>75</v>
      </c>
    </row>
    <row r="740" spans="5:21" x14ac:dyDescent="0.25">
      <c r="E740" s="10">
        <v>43989</v>
      </c>
      <c r="F740" s="11">
        <v>0.73958333333333337</v>
      </c>
      <c r="G740" t="s">
        <v>31</v>
      </c>
      <c r="H740">
        <v>0.2</v>
      </c>
      <c r="I740">
        <v>30</v>
      </c>
      <c r="K740" s="14">
        <v>43918</v>
      </c>
      <c r="L740" s="15">
        <v>0.77986111111111101</v>
      </c>
      <c r="M740" s="13" t="s">
        <v>15</v>
      </c>
      <c r="N740" s="13">
        <v>1.07</v>
      </c>
      <c r="O740" s="13">
        <v>10</v>
      </c>
      <c r="Q740" s="18">
        <v>43978</v>
      </c>
      <c r="R740" s="19">
        <v>0.65972222222222221</v>
      </c>
      <c r="S740" s="17" t="s">
        <v>6</v>
      </c>
      <c r="T740" s="17">
        <v>1.75</v>
      </c>
      <c r="U740" s="17">
        <v>50</v>
      </c>
    </row>
    <row r="741" spans="5:21" x14ac:dyDescent="0.25">
      <c r="E741" s="10">
        <v>43989</v>
      </c>
      <c r="F741" s="11">
        <v>0.82777777777777783</v>
      </c>
      <c r="G741" t="s">
        <v>31</v>
      </c>
      <c r="H741">
        <v>0.1</v>
      </c>
      <c r="I741">
        <v>50</v>
      </c>
      <c r="K741" s="14">
        <v>43918</v>
      </c>
      <c r="L741" s="15">
        <v>0.84236111111111101</v>
      </c>
      <c r="M741" s="13" t="s">
        <v>15</v>
      </c>
      <c r="N741" s="13">
        <v>7.03</v>
      </c>
      <c r="O741" s="13">
        <v>400</v>
      </c>
      <c r="Q741" s="18">
        <v>43933</v>
      </c>
      <c r="R741" s="19">
        <v>0.83333333333333337</v>
      </c>
      <c r="S741" s="17" t="s">
        <v>20</v>
      </c>
      <c r="T741" s="17">
        <v>5.42</v>
      </c>
      <c r="U741" s="17">
        <v>300</v>
      </c>
    </row>
    <row r="742" spans="5:21" x14ac:dyDescent="0.25">
      <c r="E742" s="10">
        <v>43990</v>
      </c>
      <c r="F742" s="11">
        <v>0.64583333333333337</v>
      </c>
      <c r="G742" t="s">
        <v>31</v>
      </c>
      <c r="H742">
        <v>7</v>
      </c>
      <c r="I742">
        <v>250</v>
      </c>
      <c r="K742" s="14">
        <v>43918</v>
      </c>
      <c r="L742" s="15">
        <v>0.79236111111111107</v>
      </c>
      <c r="M742" s="13" t="s">
        <v>15</v>
      </c>
      <c r="N742" s="13">
        <v>2.06</v>
      </c>
      <c r="O742" s="13">
        <v>100</v>
      </c>
      <c r="Q742" s="18">
        <v>44026</v>
      </c>
      <c r="R742" s="19">
        <v>0.6</v>
      </c>
      <c r="S742" s="17" t="s">
        <v>24</v>
      </c>
      <c r="T742" s="17">
        <v>1</v>
      </c>
      <c r="U742" s="17">
        <v>25</v>
      </c>
    </row>
    <row r="743" spans="5:21" x14ac:dyDescent="0.25">
      <c r="E743" s="10">
        <v>43990</v>
      </c>
      <c r="F743" s="11">
        <v>0.67291666666666661</v>
      </c>
      <c r="G743" t="s">
        <v>31</v>
      </c>
      <c r="H743">
        <v>3</v>
      </c>
      <c r="I743">
        <v>150</v>
      </c>
      <c r="K743" s="14">
        <v>43918</v>
      </c>
      <c r="L743" s="15">
        <v>0.83194444444444438</v>
      </c>
      <c r="M743" s="13" t="s">
        <v>15</v>
      </c>
      <c r="N743" s="13">
        <v>3.27</v>
      </c>
      <c r="O743" s="13">
        <v>50</v>
      </c>
      <c r="Q743" s="18">
        <v>43940</v>
      </c>
      <c r="R743" s="19">
        <v>0.86875000000000002</v>
      </c>
      <c r="S743" s="17" t="s">
        <v>24</v>
      </c>
      <c r="T743" s="17">
        <v>3.12</v>
      </c>
      <c r="U743" s="17">
        <v>200</v>
      </c>
    </row>
    <row r="744" spans="5:21" x14ac:dyDescent="0.25">
      <c r="E744" s="10">
        <v>43990</v>
      </c>
      <c r="F744" s="11">
        <v>0.63680555555555551</v>
      </c>
      <c r="G744" t="s">
        <v>31</v>
      </c>
      <c r="H744">
        <v>0.1</v>
      </c>
      <c r="I744">
        <v>50</v>
      </c>
      <c r="K744" s="14">
        <v>43949</v>
      </c>
      <c r="L744" s="15">
        <v>0.74722222222222223</v>
      </c>
      <c r="M744" s="13" t="s">
        <v>15</v>
      </c>
      <c r="N744" s="13">
        <v>2.1</v>
      </c>
      <c r="O744" s="13">
        <v>100</v>
      </c>
      <c r="Q744" s="18">
        <v>43974</v>
      </c>
      <c r="R744" s="19">
        <v>0.47916666666666669</v>
      </c>
      <c r="S744" s="17" t="s">
        <v>23</v>
      </c>
      <c r="T744" s="17">
        <v>7.05</v>
      </c>
      <c r="U744" s="17">
        <v>50</v>
      </c>
    </row>
    <row r="745" spans="5:21" x14ac:dyDescent="0.25">
      <c r="E745" s="10">
        <v>44002</v>
      </c>
      <c r="F745" s="11">
        <v>0.68402777777777779</v>
      </c>
      <c r="G745" t="s">
        <v>31</v>
      </c>
      <c r="H745">
        <v>0.27</v>
      </c>
      <c r="I745">
        <v>30</v>
      </c>
      <c r="K745" s="14">
        <v>43965</v>
      </c>
      <c r="L745" s="15">
        <v>0.88611111111111107</v>
      </c>
      <c r="M745" s="13" t="s">
        <v>15</v>
      </c>
      <c r="N745" s="13">
        <v>4.26</v>
      </c>
      <c r="O745" s="13">
        <v>100</v>
      </c>
      <c r="Q745" s="18">
        <v>44091</v>
      </c>
      <c r="R745" s="19">
        <v>0.44791666666666669</v>
      </c>
      <c r="S745" s="17" t="s">
        <v>10</v>
      </c>
      <c r="T745" s="17">
        <v>0.32</v>
      </c>
      <c r="U745" s="17">
        <v>25</v>
      </c>
    </row>
    <row r="746" spans="5:21" x14ac:dyDescent="0.25">
      <c r="E746" s="10">
        <v>44010</v>
      </c>
      <c r="F746" s="11">
        <v>0.81041666666666667</v>
      </c>
      <c r="G746" t="s">
        <v>31</v>
      </c>
      <c r="H746">
        <v>1.26</v>
      </c>
      <c r="I746">
        <v>100</v>
      </c>
      <c r="K746" s="14">
        <v>43968</v>
      </c>
      <c r="L746" s="15">
        <v>0.59375</v>
      </c>
      <c r="M746" s="13" t="s">
        <v>15</v>
      </c>
      <c r="N746" s="13">
        <v>0.69</v>
      </c>
      <c r="O746" s="13">
        <v>25</v>
      </c>
      <c r="Q746" s="18">
        <v>43933</v>
      </c>
      <c r="R746" s="19">
        <v>0.90625</v>
      </c>
      <c r="S746" s="17" t="s">
        <v>21</v>
      </c>
      <c r="T746" s="17">
        <v>3.04</v>
      </c>
      <c r="U746" s="17">
        <v>500</v>
      </c>
    </row>
    <row r="747" spans="5:21" x14ac:dyDescent="0.25">
      <c r="E747" s="10">
        <v>44010</v>
      </c>
      <c r="F747" s="11">
        <v>0.83680555555555547</v>
      </c>
      <c r="G747" t="s">
        <v>31</v>
      </c>
      <c r="H747">
        <v>1</v>
      </c>
      <c r="I747">
        <v>100</v>
      </c>
      <c r="K747" s="14">
        <v>43968</v>
      </c>
      <c r="L747" s="15">
        <v>0.68472222222222223</v>
      </c>
      <c r="M747" s="13" t="s">
        <v>15</v>
      </c>
      <c r="N747" s="13">
        <v>0.52</v>
      </c>
      <c r="O747" s="13">
        <v>25</v>
      </c>
      <c r="Q747" s="18">
        <v>44072</v>
      </c>
      <c r="R747" s="19">
        <v>0.6430555555555556</v>
      </c>
      <c r="S747" s="17" t="s">
        <v>36</v>
      </c>
      <c r="T747" s="17">
        <v>0.26</v>
      </c>
      <c r="U747" s="17">
        <v>50</v>
      </c>
    </row>
    <row r="748" spans="5:21" x14ac:dyDescent="0.25">
      <c r="E748" s="10">
        <v>44010</v>
      </c>
      <c r="F748" s="11">
        <v>0.83333333333333337</v>
      </c>
      <c r="G748" t="s">
        <v>31</v>
      </c>
      <c r="H748">
        <v>0.39</v>
      </c>
      <c r="I748">
        <v>50</v>
      </c>
      <c r="K748" s="14">
        <v>43968</v>
      </c>
      <c r="L748" s="15">
        <v>0.62916666666666665</v>
      </c>
      <c r="M748" s="13" t="s">
        <v>15</v>
      </c>
      <c r="N748" s="13">
        <v>4.04</v>
      </c>
      <c r="O748" s="13">
        <v>75</v>
      </c>
      <c r="Q748" s="18">
        <v>44103</v>
      </c>
      <c r="R748" s="19">
        <v>0.85625000000000007</v>
      </c>
      <c r="S748" s="17" t="s">
        <v>35</v>
      </c>
      <c r="T748" s="17">
        <v>1.5</v>
      </c>
      <c r="U748" s="17">
        <v>50</v>
      </c>
    </row>
    <row r="749" spans="5:21" x14ac:dyDescent="0.25">
      <c r="E749" s="10">
        <v>44019</v>
      </c>
      <c r="F749" s="11">
        <v>0.9375</v>
      </c>
      <c r="G749" t="s">
        <v>31</v>
      </c>
      <c r="H749">
        <v>0.22</v>
      </c>
      <c r="I749">
        <v>50</v>
      </c>
      <c r="K749" s="14">
        <v>43970</v>
      </c>
      <c r="L749" s="15">
        <v>0.71319444444444446</v>
      </c>
      <c r="M749" s="13" t="s">
        <v>15</v>
      </c>
      <c r="N749" s="13">
        <v>0.88</v>
      </c>
      <c r="O749" s="13">
        <v>25</v>
      </c>
      <c r="Q749" s="18">
        <v>43934</v>
      </c>
      <c r="R749" s="19">
        <v>2.4999999999999998E-2</v>
      </c>
      <c r="S749" s="17" t="s">
        <v>9</v>
      </c>
      <c r="T749" s="17">
        <v>2.75</v>
      </c>
      <c r="U749" s="17">
        <v>50</v>
      </c>
    </row>
    <row r="750" spans="5:21" x14ac:dyDescent="0.25">
      <c r="E750" s="10">
        <v>44029</v>
      </c>
      <c r="F750" s="11">
        <v>0.61597222222222225</v>
      </c>
      <c r="G750" t="s">
        <v>31</v>
      </c>
      <c r="H750">
        <v>0.25</v>
      </c>
      <c r="I750">
        <v>40</v>
      </c>
      <c r="K750" s="14">
        <v>43974</v>
      </c>
      <c r="L750" s="15">
        <v>0.71250000000000002</v>
      </c>
      <c r="M750" s="13" t="s">
        <v>15</v>
      </c>
      <c r="N750" s="13">
        <v>3.2</v>
      </c>
      <c r="O750" s="13">
        <v>50</v>
      </c>
      <c r="Q750" s="18">
        <v>43934</v>
      </c>
      <c r="R750" s="19">
        <v>4.6527777777777779E-2</v>
      </c>
      <c r="S750" s="17" t="s">
        <v>9</v>
      </c>
      <c r="T750" s="17">
        <v>8.73</v>
      </c>
      <c r="U750" s="17">
        <v>500</v>
      </c>
    </row>
    <row r="751" spans="5:21" x14ac:dyDescent="0.25">
      <c r="E751" s="10">
        <v>44029</v>
      </c>
      <c r="F751" s="11">
        <v>0.58263888888888882</v>
      </c>
      <c r="G751" t="s">
        <v>31</v>
      </c>
      <c r="H751">
        <v>0.1</v>
      </c>
      <c r="I751">
        <v>30</v>
      </c>
      <c r="K751" s="14">
        <v>43974</v>
      </c>
      <c r="L751" s="15">
        <v>0.57847222222222217</v>
      </c>
      <c r="M751" s="13" t="s">
        <v>15</v>
      </c>
      <c r="N751" s="13">
        <v>6.3</v>
      </c>
      <c r="O751" s="13">
        <v>100</v>
      </c>
      <c r="Q751" s="18">
        <v>43929</v>
      </c>
      <c r="R751" s="19">
        <v>0.84027777777777779</v>
      </c>
      <c r="S751" s="17" t="s">
        <v>22</v>
      </c>
      <c r="T751" s="17">
        <v>0.96</v>
      </c>
      <c r="U751" s="17">
        <v>150</v>
      </c>
    </row>
    <row r="752" spans="5:21" x14ac:dyDescent="0.25">
      <c r="E752" s="10">
        <v>44032</v>
      </c>
      <c r="F752" s="11">
        <v>0.59027777777777779</v>
      </c>
      <c r="G752" t="s">
        <v>31</v>
      </c>
      <c r="H752">
        <v>0.23</v>
      </c>
      <c r="I752">
        <v>25</v>
      </c>
      <c r="K752" s="14">
        <v>43974</v>
      </c>
      <c r="L752" s="15">
        <v>0.63750000000000007</v>
      </c>
      <c r="M752" s="13" t="s">
        <v>15</v>
      </c>
      <c r="N752" s="13">
        <v>0.53</v>
      </c>
      <c r="O752" s="13">
        <v>20</v>
      </c>
      <c r="Q752" s="18">
        <v>43929</v>
      </c>
      <c r="R752" s="19">
        <v>0.87013888888888891</v>
      </c>
      <c r="S752" s="17" t="s">
        <v>27</v>
      </c>
      <c r="T752" s="17">
        <v>0.8</v>
      </c>
      <c r="U752" s="17">
        <v>75</v>
      </c>
    </row>
    <row r="753" spans="5:21" x14ac:dyDescent="0.25">
      <c r="E753" s="10">
        <v>44047</v>
      </c>
      <c r="F753" s="11">
        <v>0.77638888888888891</v>
      </c>
      <c r="G753" t="s">
        <v>31</v>
      </c>
      <c r="H753">
        <v>4.3600000000000003</v>
      </c>
      <c r="I753">
        <v>100</v>
      </c>
      <c r="K753" s="14">
        <v>43974</v>
      </c>
      <c r="L753" s="15">
        <v>0.64583333333333337</v>
      </c>
      <c r="M753" s="13" t="s">
        <v>15</v>
      </c>
      <c r="N753" s="13">
        <v>0.3</v>
      </c>
      <c r="O753" s="13">
        <v>100</v>
      </c>
      <c r="Q753" s="18">
        <v>44189</v>
      </c>
      <c r="R753" s="19">
        <v>5.9722222222222225E-2</v>
      </c>
      <c r="S753" s="17" t="s">
        <v>24</v>
      </c>
      <c r="T753" s="17">
        <v>3.89</v>
      </c>
      <c r="U753" s="17">
        <v>550</v>
      </c>
    </row>
    <row r="754" spans="5:21" x14ac:dyDescent="0.25">
      <c r="E754" s="10">
        <v>44052</v>
      </c>
      <c r="F754" s="11">
        <v>0.55347222222222225</v>
      </c>
      <c r="G754" t="s">
        <v>31</v>
      </c>
      <c r="H754">
        <v>2.87</v>
      </c>
      <c r="I754">
        <v>150</v>
      </c>
      <c r="K754" s="14">
        <v>43974</v>
      </c>
      <c r="L754" s="15">
        <v>0.53749999999999998</v>
      </c>
      <c r="M754" s="13" t="s">
        <v>15</v>
      </c>
      <c r="N754" s="13">
        <v>3.46</v>
      </c>
      <c r="O754" s="13">
        <v>75</v>
      </c>
      <c r="Q754" s="18">
        <v>43999</v>
      </c>
      <c r="R754" s="19">
        <v>0.68958333333333333</v>
      </c>
      <c r="S754" s="17" t="s">
        <v>8</v>
      </c>
      <c r="T754" s="17">
        <v>2.0299999999999998</v>
      </c>
      <c r="U754" s="17">
        <v>300</v>
      </c>
    </row>
    <row r="755" spans="5:21" x14ac:dyDescent="0.25">
      <c r="E755" s="10">
        <v>44052</v>
      </c>
      <c r="F755" s="11">
        <v>0.55069444444444449</v>
      </c>
      <c r="G755" t="s">
        <v>31</v>
      </c>
      <c r="H755">
        <v>2.2400000000000002</v>
      </c>
      <c r="I755">
        <v>100</v>
      </c>
      <c r="K755" s="14">
        <v>43974</v>
      </c>
      <c r="L755" s="15">
        <v>0.56180555555555556</v>
      </c>
      <c r="M755" s="13" t="s">
        <v>15</v>
      </c>
      <c r="N755" s="13">
        <v>12.25</v>
      </c>
      <c r="O755" s="13">
        <v>30</v>
      </c>
      <c r="Q755" s="18">
        <v>44016</v>
      </c>
      <c r="R755" s="19">
        <v>0.75138888888888899</v>
      </c>
      <c r="S755" s="17" t="s">
        <v>15</v>
      </c>
      <c r="T755" s="17">
        <v>0.1</v>
      </c>
      <c r="U755" s="17">
        <v>25</v>
      </c>
    </row>
    <row r="756" spans="5:21" x14ac:dyDescent="0.25">
      <c r="E756" s="10">
        <v>44052</v>
      </c>
      <c r="F756" s="11">
        <v>0.56944444444444442</v>
      </c>
      <c r="G756" t="s">
        <v>31</v>
      </c>
      <c r="H756">
        <v>2</v>
      </c>
      <c r="I756">
        <v>40</v>
      </c>
      <c r="K756" s="14">
        <v>43978</v>
      </c>
      <c r="L756" s="15">
        <v>0.77361111111111114</v>
      </c>
      <c r="M756" s="13" t="s">
        <v>15</v>
      </c>
      <c r="N756" s="13">
        <v>7.0000000000000007E-2</v>
      </c>
      <c r="O756" s="13">
        <v>10</v>
      </c>
      <c r="Q756" s="18">
        <v>43967</v>
      </c>
      <c r="R756" s="19">
        <v>0.48333333333333334</v>
      </c>
      <c r="S756" s="17" t="s">
        <v>6</v>
      </c>
      <c r="T756" s="17">
        <v>1.03</v>
      </c>
      <c r="U756" s="17">
        <v>150</v>
      </c>
    </row>
    <row r="757" spans="5:21" x14ac:dyDescent="0.25">
      <c r="E757" s="10">
        <v>44052</v>
      </c>
      <c r="F757" s="11">
        <v>0.54305555555555551</v>
      </c>
      <c r="G757" t="s">
        <v>31</v>
      </c>
      <c r="H757">
        <v>0.87</v>
      </c>
      <c r="I757">
        <v>100</v>
      </c>
      <c r="K757" s="14">
        <v>43979</v>
      </c>
      <c r="L757" s="15">
        <v>0.77361111111111114</v>
      </c>
      <c r="M757" s="13" t="s">
        <v>15</v>
      </c>
      <c r="N757" s="13">
        <v>0.31</v>
      </c>
      <c r="O757" s="13">
        <v>20</v>
      </c>
      <c r="Q757" s="18">
        <v>43974</v>
      </c>
      <c r="R757" s="19">
        <v>0.53749999999999998</v>
      </c>
      <c r="S757" s="17" t="s">
        <v>15</v>
      </c>
      <c r="T757" s="17">
        <v>3.46</v>
      </c>
      <c r="U757" s="17">
        <v>75</v>
      </c>
    </row>
    <row r="758" spans="5:21" x14ac:dyDescent="0.25">
      <c r="E758" s="10">
        <v>44052</v>
      </c>
      <c r="F758" s="11">
        <v>0.55486111111111114</v>
      </c>
      <c r="G758" t="s">
        <v>31</v>
      </c>
      <c r="H758">
        <v>0.3</v>
      </c>
      <c r="I758">
        <v>50</v>
      </c>
      <c r="K758" s="14">
        <v>43979</v>
      </c>
      <c r="L758" s="15">
        <v>0.63194444444444442</v>
      </c>
      <c r="M758" s="13" t="s">
        <v>15</v>
      </c>
      <c r="N758" s="13">
        <v>1.69</v>
      </c>
      <c r="O758" s="13">
        <v>25</v>
      </c>
      <c r="Q758" s="18">
        <v>44057</v>
      </c>
      <c r="R758" s="19">
        <v>0.65625</v>
      </c>
      <c r="S758" s="17" t="s">
        <v>8</v>
      </c>
      <c r="T758" s="17">
        <v>0.61</v>
      </c>
      <c r="U758" s="17">
        <v>50</v>
      </c>
    </row>
    <row r="759" spans="5:21" x14ac:dyDescent="0.25">
      <c r="E759" s="10">
        <v>44052</v>
      </c>
      <c r="F759" s="11">
        <v>0.45694444444444443</v>
      </c>
      <c r="G759" t="s">
        <v>31</v>
      </c>
      <c r="H759">
        <v>0.28999999999999998</v>
      </c>
      <c r="I759">
        <v>40</v>
      </c>
      <c r="K759" s="14">
        <v>43979</v>
      </c>
      <c r="L759" s="15">
        <v>0.76736111111111116</v>
      </c>
      <c r="M759" s="13" t="s">
        <v>15</v>
      </c>
      <c r="N759" s="13">
        <v>0.36</v>
      </c>
      <c r="O759" s="13">
        <v>20</v>
      </c>
      <c r="Q759" s="18">
        <v>44165</v>
      </c>
      <c r="R759" s="19">
        <v>0.59236111111111112</v>
      </c>
      <c r="S759" s="17" t="s">
        <v>18</v>
      </c>
      <c r="T759" s="17">
        <v>5.32</v>
      </c>
      <c r="U759" s="17">
        <v>75</v>
      </c>
    </row>
    <row r="760" spans="5:21" x14ac:dyDescent="0.25">
      <c r="E760" s="10">
        <v>43973</v>
      </c>
      <c r="F760" s="11">
        <v>0.67152777777777783</v>
      </c>
      <c r="G760" t="s">
        <v>28</v>
      </c>
      <c r="H760">
        <v>0.03</v>
      </c>
      <c r="I760">
        <v>50</v>
      </c>
      <c r="K760" s="14">
        <v>43979</v>
      </c>
      <c r="L760" s="15">
        <v>0.70138888888888884</v>
      </c>
      <c r="M760" s="13" t="s">
        <v>15</v>
      </c>
      <c r="N760" s="13">
        <v>2.88</v>
      </c>
      <c r="O760" s="13">
        <v>100</v>
      </c>
      <c r="Q760" s="18">
        <v>43843</v>
      </c>
      <c r="R760" s="19">
        <v>0.48958333333333331</v>
      </c>
      <c r="S760" s="17" t="s">
        <v>10</v>
      </c>
      <c r="T760" s="17">
        <v>1.21</v>
      </c>
      <c r="U760" s="17">
        <v>45</v>
      </c>
    </row>
    <row r="761" spans="5:21" x14ac:dyDescent="0.25">
      <c r="E761" s="10">
        <v>43975</v>
      </c>
      <c r="F761" s="11">
        <v>0.72638888888888886</v>
      </c>
      <c r="G761" t="s">
        <v>28</v>
      </c>
      <c r="H761">
        <v>3.31</v>
      </c>
      <c r="I761">
        <v>40</v>
      </c>
      <c r="K761" s="14">
        <v>43991</v>
      </c>
      <c r="L761" s="15">
        <v>0.72499999999999998</v>
      </c>
      <c r="M761" s="13" t="s">
        <v>15</v>
      </c>
      <c r="N761" s="13">
        <v>4.3600000000000003</v>
      </c>
      <c r="O761" s="13">
        <v>75</v>
      </c>
      <c r="Q761" s="18">
        <v>44027</v>
      </c>
      <c r="R761" s="19">
        <v>0.75208333333333333</v>
      </c>
      <c r="S761" s="17" t="s">
        <v>42</v>
      </c>
      <c r="T761" s="17">
        <v>0.35</v>
      </c>
      <c r="U761" s="17">
        <v>30</v>
      </c>
    </row>
    <row r="762" spans="5:21" x14ac:dyDescent="0.25">
      <c r="E762" s="10">
        <v>43986</v>
      </c>
      <c r="F762" s="11">
        <v>0.69791666666666663</v>
      </c>
      <c r="G762" t="s">
        <v>28</v>
      </c>
      <c r="H762">
        <v>0.82</v>
      </c>
      <c r="I762">
        <v>30</v>
      </c>
      <c r="K762" s="14">
        <v>44016</v>
      </c>
      <c r="L762" s="15">
        <v>0.75138888888888899</v>
      </c>
      <c r="M762" s="13" t="s">
        <v>15</v>
      </c>
      <c r="N762" s="13">
        <v>0.1</v>
      </c>
      <c r="O762" s="13">
        <v>25</v>
      </c>
      <c r="Q762" s="18">
        <v>43990</v>
      </c>
      <c r="R762" s="19">
        <v>0.64583333333333337</v>
      </c>
      <c r="S762" s="17" t="s">
        <v>31</v>
      </c>
      <c r="T762" s="17">
        <v>7</v>
      </c>
      <c r="U762" s="17">
        <v>250</v>
      </c>
    </row>
    <row r="763" spans="5:21" x14ac:dyDescent="0.25">
      <c r="E763" s="10">
        <v>43990</v>
      </c>
      <c r="F763" s="11">
        <v>0.7416666666666667</v>
      </c>
      <c r="G763" t="s">
        <v>28</v>
      </c>
      <c r="H763">
        <v>0.01</v>
      </c>
      <c r="I763">
        <v>10</v>
      </c>
      <c r="K763" s="14">
        <v>44020</v>
      </c>
      <c r="L763" s="15">
        <v>0.62777777777777777</v>
      </c>
      <c r="M763" s="13" t="s">
        <v>15</v>
      </c>
      <c r="N763" s="13">
        <v>0.31</v>
      </c>
      <c r="O763" s="13">
        <v>10</v>
      </c>
      <c r="Q763" s="18">
        <v>43920</v>
      </c>
      <c r="R763" s="19">
        <v>0.68194444444444446</v>
      </c>
      <c r="S763" s="17" t="s">
        <v>6</v>
      </c>
      <c r="T763" s="17">
        <v>3.55</v>
      </c>
      <c r="U763" s="17">
        <v>50</v>
      </c>
    </row>
    <row r="764" spans="5:21" x14ac:dyDescent="0.25">
      <c r="E764" s="10">
        <v>43990</v>
      </c>
      <c r="F764" s="11">
        <v>0.78680555555555554</v>
      </c>
      <c r="G764" t="s">
        <v>28</v>
      </c>
      <c r="H764">
        <v>0.01</v>
      </c>
      <c r="I764">
        <v>10</v>
      </c>
      <c r="K764" s="14">
        <v>44027</v>
      </c>
      <c r="L764" s="15">
        <v>0.67013888888888884</v>
      </c>
      <c r="M764" s="13" t="s">
        <v>15</v>
      </c>
      <c r="N764" s="13">
        <v>0.56999999999999995</v>
      </c>
      <c r="O764" s="13">
        <v>50</v>
      </c>
      <c r="Q764" s="18">
        <v>44026</v>
      </c>
      <c r="R764" s="19">
        <v>0.79305555555555562</v>
      </c>
      <c r="S764" s="17" t="s">
        <v>6</v>
      </c>
      <c r="T764" s="17">
        <v>1.34</v>
      </c>
      <c r="U764" s="17">
        <v>50</v>
      </c>
    </row>
    <row r="765" spans="5:21" x14ac:dyDescent="0.25">
      <c r="E765" s="10">
        <v>43990</v>
      </c>
      <c r="F765" s="11">
        <v>0.80555555555555547</v>
      </c>
      <c r="G765" t="s">
        <v>28</v>
      </c>
      <c r="H765">
        <v>0.01</v>
      </c>
      <c r="I765">
        <v>10</v>
      </c>
      <c r="K765" s="14">
        <v>44027</v>
      </c>
      <c r="L765" s="15">
        <v>0.62777777777777777</v>
      </c>
      <c r="M765" s="13" t="s">
        <v>15</v>
      </c>
      <c r="N765" s="13">
        <v>0.21</v>
      </c>
      <c r="O765" s="13">
        <v>10</v>
      </c>
      <c r="Q765" s="18">
        <v>44019</v>
      </c>
      <c r="R765" s="19">
        <v>0.61875000000000002</v>
      </c>
      <c r="S765" s="17" t="s">
        <v>22</v>
      </c>
      <c r="T765" s="17">
        <v>0.48</v>
      </c>
      <c r="U765" s="17">
        <v>30</v>
      </c>
    </row>
    <row r="766" spans="5:21" x14ac:dyDescent="0.25">
      <c r="E766" s="10">
        <v>43990</v>
      </c>
      <c r="F766" s="11">
        <v>0.78194444444444444</v>
      </c>
      <c r="G766" t="s">
        <v>28</v>
      </c>
      <c r="H766">
        <v>0.01</v>
      </c>
      <c r="I766">
        <v>10</v>
      </c>
      <c r="K766" s="14">
        <v>44027</v>
      </c>
      <c r="L766" s="15">
        <v>0.53125</v>
      </c>
      <c r="M766" s="13" t="s">
        <v>15</v>
      </c>
      <c r="N766" s="13">
        <v>0.13</v>
      </c>
      <c r="O766" s="13">
        <v>10</v>
      </c>
      <c r="Q766" s="18">
        <v>44053</v>
      </c>
      <c r="R766" s="19">
        <v>0.70486111111111116</v>
      </c>
      <c r="S766" s="17" t="s">
        <v>22</v>
      </c>
      <c r="T766" s="17">
        <v>3.1</v>
      </c>
      <c r="U766" s="17">
        <v>100</v>
      </c>
    </row>
    <row r="767" spans="5:21" x14ac:dyDescent="0.25">
      <c r="E767" s="10">
        <v>43990</v>
      </c>
      <c r="F767" s="11">
        <v>0.7680555555555556</v>
      </c>
      <c r="G767" t="s">
        <v>28</v>
      </c>
      <c r="H767">
        <v>0.01</v>
      </c>
      <c r="I767">
        <v>10</v>
      </c>
      <c r="K767" s="14">
        <v>44027</v>
      </c>
      <c r="L767" s="15">
        <v>0.52569444444444446</v>
      </c>
      <c r="M767" s="13" t="s">
        <v>15</v>
      </c>
      <c r="N767" s="13">
        <v>0.12</v>
      </c>
      <c r="O767" s="13">
        <v>10</v>
      </c>
      <c r="Q767" s="18">
        <v>44111</v>
      </c>
      <c r="R767" s="19">
        <v>0.55138888888888882</v>
      </c>
      <c r="S767" s="17" t="s">
        <v>36</v>
      </c>
      <c r="T767" s="17">
        <v>0.11</v>
      </c>
      <c r="U767" s="17">
        <v>20</v>
      </c>
    </row>
    <row r="768" spans="5:21" x14ac:dyDescent="0.25">
      <c r="E768" s="10">
        <v>43991</v>
      </c>
      <c r="F768" s="11">
        <v>0.7104166666666667</v>
      </c>
      <c r="G768" t="s">
        <v>28</v>
      </c>
      <c r="H768">
        <v>0.1</v>
      </c>
      <c r="I768">
        <v>1</v>
      </c>
      <c r="K768" s="14">
        <v>44027</v>
      </c>
      <c r="L768" s="15">
        <v>0.6791666666666667</v>
      </c>
      <c r="M768" s="13" t="s">
        <v>15</v>
      </c>
      <c r="N768" s="13">
        <v>4.53</v>
      </c>
      <c r="O768" s="13">
        <v>300</v>
      </c>
      <c r="Q768" s="18">
        <v>43942</v>
      </c>
      <c r="R768" s="19">
        <v>0.54513888888888895</v>
      </c>
      <c r="S768" s="17" t="s">
        <v>37</v>
      </c>
      <c r="T768" s="17">
        <v>0.41</v>
      </c>
      <c r="U768" s="17">
        <v>20</v>
      </c>
    </row>
    <row r="769" spans="5:21" x14ac:dyDescent="0.25">
      <c r="E769" s="10">
        <v>44002</v>
      </c>
      <c r="F769" s="11">
        <v>0.68402777777777779</v>
      </c>
      <c r="G769" t="s">
        <v>28</v>
      </c>
      <c r="H769">
        <v>0.01</v>
      </c>
      <c r="I769">
        <v>10</v>
      </c>
      <c r="K769" s="14">
        <v>44027</v>
      </c>
      <c r="L769" s="15">
        <v>0.64444444444444449</v>
      </c>
      <c r="M769" s="13" t="s">
        <v>15</v>
      </c>
      <c r="N769" s="13">
        <v>4.1399999999999997</v>
      </c>
      <c r="O769" s="13">
        <v>50</v>
      </c>
      <c r="Q769" s="18">
        <v>43990</v>
      </c>
      <c r="R769" s="19">
        <v>0.63680555555555551</v>
      </c>
      <c r="S769" s="17" t="s">
        <v>31</v>
      </c>
      <c r="T769" s="17">
        <v>0.1</v>
      </c>
      <c r="U769" s="17">
        <v>50</v>
      </c>
    </row>
    <row r="770" spans="5:21" x14ac:dyDescent="0.25">
      <c r="E770" s="10">
        <v>44014</v>
      </c>
      <c r="F770" s="11">
        <v>0.72916666666666663</v>
      </c>
      <c r="G770" t="s">
        <v>28</v>
      </c>
      <c r="H770">
        <v>3.4</v>
      </c>
      <c r="I770">
        <v>250</v>
      </c>
      <c r="K770" s="14">
        <v>44027</v>
      </c>
      <c r="L770" s="15">
        <v>0.66527777777777775</v>
      </c>
      <c r="M770" s="13" t="s">
        <v>15</v>
      </c>
      <c r="N770" s="13">
        <v>3.21</v>
      </c>
      <c r="O770" s="13">
        <v>75</v>
      </c>
      <c r="Q770" s="18">
        <v>44145</v>
      </c>
      <c r="R770" s="19">
        <v>0.67986111111111114</v>
      </c>
      <c r="S770" s="17" t="s">
        <v>15</v>
      </c>
      <c r="T770" s="17">
        <v>9.99</v>
      </c>
      <c r="U770" s="17">
        <v>50</v>
      </c>
    </row>
    <row r="771" spans="5:21" x14ac:dyDescent="0.25">
      <c r="E771" s="10">
        <v>44020</v>
      </c>
      <c r="F771" s="11">
        <v>0.93680555555555556</v>
      </c>
      <c r="G771" t="s">
        <v>28</v>
      </c>
      <c r="H771">
        <v>4.21</v>
      </c>
      <c r="I771">
        <v>130</v>
      </c>
      <c r="K771" s="14">
        <v>44027</v>
      </c>
      <c r="L771" s="15">
        <v>0.65763888888888888</v>
      </c>
      <c r="M771" s="13" t="s">
        <v>15</v>
      </c>
      <c r="N771" s="13">
        <v>0.15</v>
      </c>
      <c r="O771" s="13">
        <v>15</v>
      </c>
      <c r="Q771" s="18">
        <v>44030</v>
      </c>
      <c r="R771" s="19">
        <v>0.99305555555555547</v>
      </c>
      <c r="S771" s="17" t="s">
        <v>32</v>
      </c>
      <c r="T771" s="17">
        <v>3.62</v>
      </c>
      <c r="U771" s="17">
        <v>200</v>
      </c>
    </row>
    <row r="772" spans="5:21" x14ac:dyDescent="0.25">
      <c r="E772" s="10">
        <v>44020</v>
      </c>
      <c r="F772" s="11">
        <v>0.74305555555555547</v>
      </c>
      <c r="G772" t="s">
        <v>28</v>
      </c>
      <c r="H772">
        <v>0.1</v>
      </c>
      <c r="I772">
        <v>10</v>
      </c>
      <c r="K772" s="14">
        <v>44032</v>
      </c>
      <c r="L772" s="15">
        <v>0.58402777777777781</v>
      </c>
      <c r="M772" s="13" t="s">
        <v>15</v>
      </c>
      <c r="N772" s="13">
        <v>0.26</v>
      </c>
      <c r="O772" s="13">
        <v>30</v>
      </c>
      <c r="Q772" s="18">
        <v>44070</v>
      </c>
      <c r="R772" s="19">
        <v>0.99722222222222223</v>
      </c>
      <c r="S772" s="17" t="s">
        <v>16</v>
      </c>
      <c r="T772" s="17">
        <v>1.83</v>
      </c>
      <c r="U772" s="17">
        <v>40</v>
      </c>
    </row>
    <row r="773" spans="5:21" x14ac:dyDescent="0.25">
      <c r="E773" s="10">
        <v>44020</v>
      </c>
      <c r="F773" s="11">
        <v>0.78819444444444453</v>
      </c>
      <c r="G773" t="s">
        <v>28</v>
      </c>
      <c r="H773">
        <v>0.1</v>
      </c>
      <c r="I773">
        <v>10</v>
      </c>
      <c r="K773" s="14">
        <v>44033</v>
      </c>
      <c r="L773" s="15">
        <v>0.63750000000000007</v>
      </c>
      <c r="M773" s="13" t="s">
        <v>15</v>
      </c>
      <c r="N773" s="13">
        <v>0.2</v>
      </c>
      <c r="O773" s="13">
        <v>10</v>
      </c>
      <c r="Q773" s="18">
        <v>44052</v>
      </c>
      <c r="R773" s="19">
        <v>0.45694444444444443</v>
      </c>
      <c r="S773" s="17" t="s">
        <v>31</v>
      </c>
      <c r="T773" s="17">
        <v>0.28999999999999998</v>
      </c>
      <c r="U773" s="17">
        <v>40</v>
      </c>
    </row>
    <row r="774" spans="5:21" x14ac:dyDescent="0.25">
      <c r="E774" s="10">
        <v>44020</v>
      </c>
      <c r="F774" s="11">
        <v>0.74652777777777779</v>
      </c>
      <c r="G774" t="s">
        <v>28</v>
      </c>
      <c r="H774">
        <v>0.1</v>
      </c>
      <c r="I774">
        <v>10</v>
      </c>
      <c r="K774" s="14">
        <v>44033</v>
      </c>
      <c r="L774" s="15">
        <v>0.62847222222222221</v>
      </c>
      <c r="M774" s="13" t="s">
        <v>15</v>
      </c>
      <c r="N774" s="13">
        <v>4.3600000000000003</v>
      </c>
      <c r="O774" s="13">
        <v>100</v>
      </c>
      <c r="Q774" s="18">
        <v>43943</v>
      </c>
      <c r="R774" s="19">
        <v>0.87916666666666676</v>
      </c>
      <c r="S774" s="17" t="s">
        <v>26</v>
      </c>
      <c r="T774" s="17">
        <v>0</v>
      </c>
      <c r="U774" s="17">
        <v>0</v>
      </c>
    </row>
    <row r="775" spans="5:21" x14ac:dyDescent="0.25">
      <c r="E775" s="10">
        <v>44020</v>
      </c>
      <c r="F775" s="11">
        <v>0.75069444444444444</v>
      </c>
      <c r="G775" t="s">
        <v>28</v>
      </c>
      <c r="H775">
        <v>0.1</v>
      </c>
      <c r="I775">
        <v>10</v>
      </c>
      <c r="K775" s="14">
        <v>44053</v>
      </c>
      <c r="L775" s="15">
        <v>0.62430555555555556</v>
      </c>
      <c r="M775" s="13" t="s">
        <v>15</v>
      </c>
      <c r="N775" s="13">
        <v>3.19</v>
      </c>
      <c r="O775" s="13">
        <v>300</v>
      </c>
      <c r="Q775" s="18">
        <v>44038</v>
      </c>
      <c r="R775" s="19">
        <v>0.17361111111111113</v>
      </c>
      <c r="S775" s="17" t="s">
        <v>6</v>
      </c>
      <c r="T775" s="17">
        <v>3.27</v>
      </c>
      <c r="U775" s="17">
        <v>20</v>
      </c>
    </row>
    <row r="776" spans="5:21" x14ac:dyDescent="0.25">
      <c r="E776" s="10">
        <v>44051</v>
      </c>
      <c r="F776" s="11">
        <v>0.77083333333333337</v>
      </c>
      <c r="G776" t="s">
        <v>28</v>
      </c>
      <c r="H776">
        <v>0.23</v>
      </c>
      <c r="I776">
        <v>50</v>
      </c>
      <c r="K776" s="14">
        <v>44053</v>
      </c>
      <c r="L776" s="15">
        <v>0.6118055555555556</v>
      </c>
      <c r="M776" s="13" t="s">
        <v>15</v>
      </c>
      <c r="N776" s="13">
        <v>1.75</v>
      </c>
      <c r="O776" s="13">
        <v>150</v>
      </c>
      <c r="Q776" s="18">
        <v>43921</v>
      </c>
      <c r="R776" s="19">
        <v>0.44027777777777777</v>
      </c>
      <c r="S776" s="17" t="s">
        <v>20</v>
      </c>
      <c r="T776" s="17">
        <v>7.85</v>
      </c>
      <c r="U776" s="17">
        <v>350</v>
      </c>
    </row>
    <row r="777" spans="5:21" x14ac:dyDescent="0.25">
      <c r="E777" s="10">
        <v>44056</v>
      </c>
      <c r="F777" s="11">
        <v>0.76736111111111116</v>
      </c>
      <c r="G777" t="s">
        <v>28</v>
      </c>
      <c r="H777">
        <v>0.1</v>
      </c>
      <c r="I777">
        <v>10</v>
      </c>
      <c r="K777" s="14">
        <v>44053</v>
      </c>
      <c r="L777" s="15">
        <v>0.59375</v>
      </c>
      <c r="M777" s="13" t="s">
        <v>15</v>
      </c>
      <c r="N777" s="13">
        <v>14.45</v>
      </c>
      <c r="O777" s="13">
        <v>250</v>
      </c>
      <c r="Q777" s="18">
        <v>43973</v>
      </c>
      <c r="R777" s="19">
        <v>0.87847222222222221</v>
      </c>
      <c r="S777" s="17" t="s">
        <v>33</v>
      </c>
      <c r="T777" s="17">
        <v>3</v>
      </c>
      <c r="U777" s="17">
        <v>225</v>
      </c>
    </row>
    <row r="778" spans="5:21" x14ac:dyDescent="0.25">
      <c r="E778" s="10">
        <v>44057</v>
      </c>
      <c r="F778" s="11">
        <v>0.67499999999999993</v>
      </c>
      <c r="G778" t="s">
        <v>28</v>
      </c>
      <c r="H778">
        <v>2.09</v>
      </c>
      <c r="I778">
        <v>30</v>
      </c>
      <c r="K778" s="14">
        <v>44053</v>
      </c>
      <c r="L778" s="15">
        <v>0.62291666666666667</v>
      </c>
      <c r="M778" s="13" t="s">
        <v>15</v>
      </c>
      <c r="N778" s="13">
        <v>1.97</v>
      </c>
      <c r="O778" s="13">
        <v>350</v>
      </c>
      <c r="Q778" s="18">
        <v>43934</v>
      </c>
      <c r="R778" s="19">
        <v>0.2590277777777778</v>
      </c>
      <c r="S778" s="17" t="s">
        <v>10</v>
      </c>
      <c r="T778" s="17">
        <v>4.76</v>
      </c>
      <c r="U778" s="17">
        <v>40</v>
      </c>
    </row>
    <row r="779" spans="5:21" x14ac:dyDescent="0.25">
      <c r="E779" s="10">
        <v>44057</v>
      </c>
      <c r="F779" s="11">
        <v>0.69166666666666676</v>
      </c>
      <c r="G779" t="s">
        <v>28</v>
      </c>
      <c r="H779">
        <v>1.23</v>
      </c>
      <c r="I779">
        <v>35</v>
      </c>
      <c r="K779" s="14">
        <v>44053</v>
      </c>
      <c r="L779" s="15">
        <v>0.61041666666666672</v>
      </c>
      <c r="M779" s="13" t="s">
        <v>15</v>
      </c>
      <c r="N779" s="13">
        <v>2.15</v>
      </c>
      <c r="O779" s="13">
        <v>200</v>
      </c>
      <c r="Q779" s="18">
        <v>43918</v>
      </c>
      <c r="R779" s="19">
        <v>0.84236111111111101</v>
      </c>
      <c r="S779" s="17" t="s">
        <v>15</v>
      </c>
      <c r="T779" s="17">
        <v>7.03</v>
      </c>
      <c r="U779" s="17">
        <v>400</v>
      </c>
    </row>
    <row r="780" spans="5:21" x14ac:dyDescent="0.25">
      <c r="E780" s="10">
        <v>44057</v>
      </c>
      <c r="F780" s="11">
        <v>0.69027777777777777</v>
      </c>
      <c r="G780" t="s">
        <v>28</v>
      </c>
      <c r="H780">
        <v>0.75</v>
      </c>
      <c r="I780">
        <v>35</v>
      </c>
      <c r="K780" s="14">
        <v>44053</v>
      </c>
      <c r="L780" s="15">
        <v>0.57638888888888895</v>
      </c>
      <c r="M780" s="13" t="s">
        <v>15</v>
      </c>
      <c r="N780" s="13">
        <v>6.28</v>
      </c>
      <c r="O780" s="13">
        <v>40</v>
      </c>
      <c r="Q780" s="18">
        <v>44053</v>
      </c>
      <c r="R780" s="19">
        <v>0.56736111111111109</v>
      </c>
      <c r="S780" s="17" t="s">
        <v>15</v>
      </c>
      <c r="T780" s="17">
        <v>1.58</v>
      </c>
      <c r="U780" s="17">
        <v>50</v>
      </c>
    </row>
    <row r="781" spans="5:21" x14ac:dyDescent="0.25">
      <c r="E781" s="10">
        <v>44057</v>
      </c>
      <c r="F781" s="11">
        <v>0.70347222222222217</v>
      </c>
      <c r="G781" t="s">
        <v>28</v>
      </c>
      <c r="H781">
        <v>0.11</v>
      </c>
      <c r="I781">
        <v>25</v>
      </c>
      <c r="K781" s="14">
        <v>44053</v>
      </c>
      <c r="L781" s="15">
        <v>0.57430555555555551</v>
      </c>
      <c r="M781" s="13" t="s">
        <v>15</v>
      </c>
      <c r="N781" s="13">
        <v>9.18</v>
      </c>
      <c r="O781" s="13">
        <v>300</v>
      </c>
      <c r="Q781" s="18">
        <v>43967</v>
      </c>
      <c r="R781" s="19">
        <v>0.60902777777777783</v>
      </c>
      <c r="S781" s="17" t="s">
        <v>6</v>
      </c>
      <c r="T781" s="17">
        <v>2.63</v>
      </c>
      <c r="U781" s="17">
        <v>40</v>
      </c>
    </row>
    <row r="782" spans="5:21" x14ac:dyDescent="0.25">
      <c r="E782" s="10">
        <v>44065</v>
      </c>
      <c r="F782" s="11">
        <v>0.50347222222222221</v>
      </c>
      <c r="G782" t="s">
        <v>44</v>
      </c>
      <c r="H782">
        <v>1.65</v>
      </c>
      <c r="I782">
        <v>50</v>
      </c>
      <c r="K782" s="14">
        <v>44053</v>
      </c>
      <c r="L782" s="15">
        <v>0.58263888888888882</v>
      </c>
      <c r="M782" s="13" t="s">
        <v>15</v>
      </c>
      <c r="N782" s="13">
        <v>0.9</v>
      </c>
      <c r="O782" s="13">
        <v>150</v>
      </c>
      <c r="Q782" s="18">
        <v>44016</v>
      </c>
      <c r="R782" s="19">
        <v>0.72916666666666663</v>
      </c>
      <c r="S782" s="17" t="s">
        <v>8</v>
      </c>
      <c r="T782" s="17">
        <v>0.1</v>
      </c>
      <c r="U782" s="17">
        <v>25</v>
      </c>
    </row>
    <row r="783" spans="5:21" x14ac:dyDescent="0.25">
      <c r="E783" s="10">
        <v>44065</v>
      </c>
      <c r="F783" s="11">
        <v>0.44791666666666669</v>
      </c>
      <c r="G783" t="s">
        <v>44</v>
      </c>
      <c r="H783">
        <v>1.54</v>
      </c>
      <c r="I783">
        <v>50</v>
      </c>
      <c r="K783" s="14">
        <v>44053</v>
      </c>
      <c r="L783" s="15">
        <v>0.6118055555555556</v>
      </c>
      <c r="M783" s="13" t="s">
        <v>15</v>
      </c>
      <c r="N783" s="13">
        <v>6.25</v>
      </c>
      <c r="O783" s="13">
        <v>150</v>
      </c>
      <c r="Q783" s="18">
        <v>43934</v>
      </c>
      <c r="R783" s="19">
        <v>0.19930555555555554</v>
      </c>
      <c r="S783" s="17" t="s">
        <v>10</v>
      </c>
      <c r="T783" s="17">
        <v>17.329999999999998</v>
      </c>
      <c r="U783" s="17">
        <v>500</v>
      </c>
    </row>
    <row r="784" spans="5:21" x14ac:dyDescent="0.25">
      <c r="E784" s="10">
        <v>43942</v>
      </c>
      <c r="F784" s="11">
        <v>0.54513888888888895</v>
      </c>
      <c r="G784" t="s">
        <v>37</v>
      </c>
      <c r="H784">
        <v>0.41</v>
      </c>
      <c r="I784">
        <v>20</v>
      </c>
      <c r="K784" s="14">
        <v>44053</v>
      </c>
      <c r="L784" s="15">
        <v>0.54999999999999993</v>
      </c>
      <c r="M784" s="13" t="s">
        <v>15</v>
      </c>
      <c r="N784" s="13">
        <v>4.59</v>
      </c>
      <c r="O784" s="13">
        <v>50</v>
      </c>
      <c r="Q784" s="18">
        <v>44057</v>
      </c>
      <c r="R784" s="19">
        <v>0.61805555555555558</v>
      </c>
      <c r="S784" s="17" t="s">
        <v>8</v>
      </c>
      <c r="T784" s="17">
        <v>1.71</v>
      </c>
      <c r="U784" s="17">
        <v>150</v>
      </c>
    </row>
    <row r="785" spans="5:21" x14ac:dyDescent="0.25">
      <c r="E785" s="10">
        <v>44047</v>
      </c>
      <c r="F785" s="11">
        <v>0.32291666666666669</v>
      </c>
      <c r="G785" t="s">
        <v>37</v>
      </c>
      <c r="H785">
        <v>4.24</v>
      </c>
      <c r="I785">
        <v>150</v>
      </c>
      <c r="K785" s="14">
        <v>44053</v>
      </c>
      <c r="L785" s="15">
        <v>0.60763888888888895</v>
      </c>
      <c r="M785" s="13" t="s">
        <v>15</v>
      </c>
      <c r="N785" s="13">
        <v>0.36</v>
      </c>
      <c r="O785" s="13">
        <v>100</v>
      </c>
      <c r="Q785" s="18">
        <v>44006</v>
      </c>
      <c r="R785" s="19">
        <v>0.53402777777777777</v>
      </c>
      <c r="S785" s="17" t="s">
        <v>20</v>
      </c>
      <c r="T785" s="17">
        <v>2.66</v>
      </c>
      <c r="U785" s="17">
        <v>300</v>
      </c>
    </row>
    <row r="786" spans="5:21" x14ac:dyDescent="0.25">
      <c r="E786" s="10">
        <v>44047</v>
      </c>
      <c r="F786" s="11">
        <v>0.36805555555555558</v>
      </c>
      <c r="G786" t="s">
        <v>37</v>
      </c>
      <c r="H786">
        <v>3.32</v>
      </c>
      <c r="I786">
        <v>100</v>
      </c>
      <c r="K786" s="14">
        <v>44053</v>
      </c>
      <c r="L786" s="15">
        <v>0.58680555555555558</v>
      </c>
      <c r="M786" s="13" t="s">
        <v>15</v>
      </c>
      <c r="N786" s="13">
        <v>5.73</v>
      </c>
      <c r="O786" s="13">
        <v>200</v>
      </c>
      <c r="Q786" s="18">
        <v>43963</v>
      </c>
      <c r="R786" s="19">
        <v>0.33958333333333335</v>
      </c>
      <c r="S786" s="17" t="s">
        <v>6</v>
      </c>
      <c r="T786" s="17">
        <v>0.73</v>
      </c>
      <c r="U786" s="17">
        <v>20</v>
      </c>
    </row>
    <row r="787" spans="5:21" x14ac:dyDescent="0.25">
      <c r="E787" s="10">
        <v>44062</v>
      </c>
      <c r="F787" s="11">
        <v>0.33124999999999999</v>
      </c>
      <c r="G787" t="s">
        <v>37</v>
      </c>
      <c r="H787">
        <v>1.2</v>
      </c>
      <c r="I787">
        <v>70</v>
      </c>
      <c r="K787" s="14">
        <v>44053</v>
      </c>
      <c r="L787" s="15">
        <v>0.56736111111111109</v>
      </c>
      <c r="M787" s="13" t="s">
        <v>15</v>
      </c>
      <c r="N787" s="13">
        <v>1.58</v>
      </c>
      <c r="O787" s="13">
        <v>50</v>
      </c>
      <c r="Q787" s="18">
        <v>44071</v>
      </c>
      <c r="R787" s="19">
        <v>0.62638888888888888</v>
      </c>
      <c r="S787" s="17" t="s">
        <v>20</v>
      </c>
      <c r="T787" s="17">
        <v>8.75</v>
      </c>
      <c r="U787" s="17">
        <v>325</v>
      </c>
    </row>
    <row r="788" spans="5:21" x14ac:dyDescent="0.25">
      <c r="E788" s="10">
        <v>43903</v>
      </c>
      <c r="F788" s="11">
        <v>0.63541666666666663</v>
      </c>
      <c r="G788" t="s">
        <v>42</v>
      </c>
      <c r="H788">
        <v>0.57999999999999996</v>
      </c>
      <c r="I788">
        <v>50</v>
      </c>
      <c r="K788" s="14">
        <v>44053</v>
      </c>
      <c r="L788" s="15">
        <v>0.62777777777777777</v>
      </c>
      <c r="M788" s="13" t="s">
        <v>15</v>
      </c>
      <c r="N788" s="13">
        <v>1.47</v>
      </c>
      <c r="O788" s="13">
        <v>150</v>
      </c>
      <c r="Q788" s="18">
        <v>44071</v>
      </c>
      <c r="R788" s="19">
        <v>0.76666666666666661</v>
      </c>
      <c r="S788" s="17" t="s">
        <v>21</v>
      </c>
      <c r="T788" s="17">
        <v>2.38</v>
      </c>
      <c r="U788" s="17">
        <v>50</v>
      </c>
    </row>
    <row r="789" spans="5:21" x14ac:dyDescent="0.25">
      <c r="E789" s="10">
        <v>43907</v>
      </c>
      <c r="F789" s="11">
        <v>0.72291666666666676</v>
      </c>
      <c r="G789" t="s">
        <v>42</v>
      </c>
      <c r="H789">
        <v>0.46</v>
      </c>
      <c r="I789">
        <v>100</v>
      </c>
      <c r="K789" s="14">
        <v>44053</v>
      </c>
      <c r="L789" s="15">
        <v>0.59166666666666667</v>
      </c>
      <c r="M789" s="13" t="s">
        <v>15</v>
      </c>
      <c r="N789" s="13">
        <v>1.21</v>
      </c>
      <c r="O789" s="13">
        <v>40</v>
      </c>
      <c r="Q789" s="18">
        <v>43966</v>
      </c>
      <c r="R789" s="19">
        <v>0.66597222222222219</v>
      </c>
      <c r="S789" s="17" t="s">
        <v>36</v>
      </c>
      <c r="T789" s="17">
        <v>1.78</v>
      </c>
      <c r="U789" s="17">
        <v>50</v>
      </c>
    </row>
    <row r="790" spans="5:21" x14ac:dyDescent="0.25">
      <c r="E790" s="10">
        <v>43911</v>
      </c>
      <c r="F790" s="11">
        <v>0.60416666666666663</v>
      </c>
      <c r="G790" t="s">
        <v>42</v>
      </c>
      <c r="H790">
        <v>0.49</v>
      </c>
      <c r="I790">
        <v>40</v>
      </c>
      <c r="K790" s="14">
        <v>44053</v>
      </c>
      <c r="L790" s="15">
        <v>0.62083333333333335</v>
      </c>
      <c r="M790" s="13" t="s">
        <v>15</v>
      </c>
      <c r="N790" s="13">
        <v>4.84</v>
      </c>
      <c r="O790" s="13">
        <v>300</v>
      </c>
      <c r="Q790" s="18">
        <v>43918</v>
      </c>
      <c r="R790" s="19">
        <v>0.81597222222222221</v>
      </c>
      <c r="S790" s="17" t="s">
        <v>32</v>
      </c>
      <c r="T790" s="17">
        <v>6.22</v>
      </c>
      <c r="U790" s="17">
        <v>120</v>
      </c>
    </row>
    <row r="791" spans="5:21" x14ac:dyDescent="0.25">
      <c r="E791" s="10">
        <v>44016</v>
      </c>
      <c r="F791" s="11">
        <v>0.6875</v>
      </c>
      <c r="G791" t="s">
        <v>42</v>
      </c>
      <c r="H791">
        <v>0.04</v>
      </c>
      <c r="I791">
        <v>30</v>
      </c>
      <c r="K791" s="14">
        <v>44145</v>
      </c>
      <c r="L791" s="15">
        <v>0.69374999999999998</v>
      </c>
      <c r="M791" s="13" t="s">
        <v>15</v>
      </c>
      <c r="N791" s="13">
        <v>3.72</v>
      </c>
      <c r="O791" s="13">
        <v>50</v>
      </c>
      <c r="Q791" s="18">
        <v>43841</v>
      </c>
      <c r="R791" s="19">
        <v>0.17986111111111111</v>
      </c>
      <c r="S791" s="17" t="s">
        <v>24</v>
      </c>
      <c r="T791" s="17">
        <v>5.43</v>
      </c>
      <c r="U791" s="17">
        <v>850</v>
      </c>
    </row>
    <row r="792" spans="5:21" x14ac:dyDescent="0.25">
      <c r="E792" s="10">
        <v>44027</v>
      </c>
      <c r="F792" s="11">
        <v>0.75208333333333333</v>
      </c>
      <c r="G792" t="s">
        <v>42</v>
      </c>
      <c r="H792">
        <v>0.35</v>
      </c>
      <c r="I792">
        <v>30</v>
      </c>
      <c r="K792" s="14">
        <v>44145</v>
      </c>
      <c r="L792" s="15">
        <v>0.57291666666666663</v>
      </c>
      <c r="M792" s="13" t="s">
        <v>15</v>
      </c>
      <c r="N792" s="13">
        <v>20.34</v>
      </c>
      <c r="O792" s="13">
        <v>50</v>
      </c>
      <c r="Q792" s="18">
        <v>44038</v>
      </c>
      <c r="R792" s="19">
        <v>0.74513888888888891</v>
      </c>
      <c r="S792" s="17" t="s">
        <v>20</v>
      </c>
      <c r="T792" s="17">
        <v>0.23</v>
      </c>
      <c r="U792" s="17">
        <v>25</v>
      </c>
    </row>
    <row r="793" spans="5:21" x14ac:dyDescent="0.25">
      <c r="E793" s="10">
        <v>44058</v>
      </c>
      <c r="F793" s="11">
        <v>0.6875</v>
      </c>
      <c r="G793" t="s">
        <v>42</v>
      </c>
      <c r="H793">
        <v>0.01</v>
      </c>
      <c r="I793">
        <v>20</v>
      </c>
      <c r="K793" s="14">
        <v>44145</v>
      </c>
      <c r="L793" s="15">
        <v>0.60972222222222217</v>
      </c>
      <c r="M793" s="13" t="s">
        <v>15</v>
      </c>
      <c r="N793" s="13">
        <v>0.26</v>
      </c>
      <c r="O793" s="13">
        <v>100</v>
      </c>
      <c r="Q793" s="18">
        <v>43866</v>
      </c>
      <c r="R793" s="19">
        <v>0.70694444444444438</v>
      </c>
      <c r="S793" s="17" t="s">
        <v>24</v>
      </c>
      <c r="T793" s="17">
        <v>5.84</v>
      </c>
      <c r="U793" s="17">
        <v>800</v>
      </c>
    </row>
    <row r="794" spans="5:21" x14ac:dyDescent="0.25">
      <c r="E794" s="10">
        <v>43966</v>
      </c>
      <c r="F794" s="11">
        <v>0.66597222222222219</v>
      </c>
      <c r="G794" t="s">
        <v>36</v>
      </c>
      <c r="H794">
        <v>1.78</v>
      </c>
      <c r="I794">
        <v>50</v>
      </c>
      <c r="K794" s="14">
        <v>44145</v>
      </c>
      <c r="L794" s="15">
        <v>0.61249999999999993</v>
      </c>
      <c r="M794" s="13" t="s">
        <v>15</v>
      </c>
      <c r="N794" s="13">
        <v>0.32</v>
      </c>
      <c r="O794" s="13">
        <v>30</v>
      </c>
      <c r="Q794" s="18">
        <v>44002</v>
      </c>
      <c r="R794" s="19">
        <v>0.66736111111111107</v>
      </c>
      <c r="S794" s="17" t="s">
        <v>32</v>
      </c>
      <c r="T794" s="17">
        <v>0.24</v>
      </c>
      <c r="U794" s="17">
        <v>50</v>
      </c>
    </row>
    <row r="795" spans="5:21" x14ac:dyDescent="0.25">
      <c r="E795" s="10">
        <v>43980</v>
      </c>
      <c r="F795" s="11">
        <v>0.66111111111111109</v>
      </c>
      <c r="G795" t="s">
        <v>36</v>
      </c>
      <c r="H795">
        <v>8.58</v>
      </c>
      <c r="I795">
        <v>433</v>
      </c>
      <c r="K795" s="14">
        <v>44145</v>
      </c>
      <c r="L795" s="15">
        <v>0.67986111111111114</v>
      </c>
      <c r="M795" s="13" t="s">
        <v>15</v>
      </c>
      <c r="N795" s="13">
        <v>9.99</v>
      </c>
      <c r="O795" s="13">
        <v>50</v>
      </c>
      <c r="Q795" s="18">
        <v>44057</v>
      </c>
      <c r="R795" s="19">
        <v>0.69513888888888886</v>
      </c>
      <c r="S795" s="17" t="s">
        <v>8</v>
      </c>
      <c r="T795" s="17">
        <v>5.65</v>
      </c>
      <c r="U795" s="17">
        <v>200</v>
      </c>
    </row>
    <row r="796" spans="5:21" x14ac:dyDescent="0.25">
      <c r="E796" s="10">
        <v>44028</v>
      </c>
      <c r="F796" s="11">
        <v>0.59375</v>
      </c>
      <c r="G796" t="s">
        <v>36</v>
      </c>
      <c r="H796">
        <v>1.75</v>
      </c>
      <c r="I796">
        <v>50</v>
      </c>
      <c r="K796" s="14">
        <v>44145</v>
      </c>
      <c r="L796" s="15">
        <v>0.58472222222222225</v>
      </c>
      <c r="M796" s="13" t="s">
        <v>15</v>
      </c>
      <c r="N796" s="13">
        <v>0.54</v>
      </c>
      <c r="O796" s="13">
        <v>30</v>
      </c>
      <c r="Q796" s="18">
        <v>44181</v>
      </c>
      <c r="R796" s="19">
        <v>0.61736111111111114</v>
      </c>
      <c r="S796" s="17" t="s">
        <v>19</v>
      </c>
      <c r="T796" s="17">
        <v>13.11</v>
      </c>
      <c r="U796" s="17">
        <v>300</v>
      </c>
    </row>
    <row r="797" spans="5:21" x14ac:dyDescent="0.25">
      <c r="E797" s="10">
        <v>44028</v>
      </c>
      <c r="F797" s="11">
        <v>0.61805555555555558</v>
      </c>
      <c r="G797" t="s">
        <v>36</v>
      </c>
      <c r="H797">
        <v>1.5</v>
      </c>
      <c r="I797">
        <v>35</v>
      </c>
      <c r="K797" s="14">
        <v>44145</v>
      </c>
      <c r="L797" s="15">
        <v>0.625</v>
      </c>
      <c r="M797" s="13" t="s">
        <v>15</v>
      </c>
      <c r="N797" s="13">
        <v>4.28</v>
      </c>
      <c r="O797" s="13">
        <v>100</v>
      </c>
      <c r="Q797" s="18">
        <v>44079</v>
      </c>
      <c r="R797" s="19">
        <v>0.67847222222222225</v>
      </c>
      <c r="S797" s="17" t="s">
        <v>25</v>
      </c>
      <c r="T797" s="17">
        <v>12.02</v>
      </c>
      <c r="U797" s="17">
        <v>50</v>
      </c>
    </row>
    <row r="798" spans="5:21" x14ac:dyDescent="0.25">
      <c r="E798" s="10">
        <v>44041</v>
      </c>
      <c r="F798" s="11">
        <v>0.70347222222222217</v>
      </c>
      <c r="G798" t="s">
        <v>36</v>
      </c>
      <c r="H798">
        <v>4.2</v>
      </c>
      <c r="I798">
        <v>100</v>
      </c>
      <c r="K798" s="14">
        <v>44145</v>
      </c>
      <c r="L798" s="15">
        <v>0.61805555555555558</v>
      </c>
      <c r="M798" s="13" t="s">
        <v>15</v>
      </c>
      <c r="N798" s="13">
        <v>3.47</v>
      </c>
      <c r="O798" s="13">
        <v>100</v>
      </c>
      <c r="Q798" s="18">
        <v>43995</v>
      </c>
      <c r="R798" s="19">
        <v>0.81111111111111101</v>
      </c>
      <c r="S798" s="17" t="s">
        <v>47</v>
      </c>
      <c r="T798" s="17">
        <v>2</v>
      </c>
      <c r="U798" s="17">
        <v>200</v>
      </c>
    </row>
    <row r="799" spans="5:21" x14ac:dyDescent="0.25">
      <c r="E799" s="10">
        <v>44053</v>
      </c>
      <c r="F799" s="11">
        <v>0.62847222222222221</v>
      </c>
      <c r="G799" t="s">
        <v>36</v>
      </c>
      <c r="H799">
        <v>1.5</v>
      </c>
      <c r="I799">
        <v>100</v>
      </c>
      <c r="K799" s="14">
        <v>43918</v>
      </c>
      <c r="L799" s="15">
        <v>0.6430555555555556</v>
      </c>
      <c r="M799" s="13" t="s">
        <v>23</v>
      </c>
      <c r="N799" s="13">
        <v>1.3</v>
      </c>
      <c r="O799" s="13">
        <v>75</v>
      </c>
      <c r="Q799" s="18">
        <v>43944</v>
      </c>
      <c r="R799" s="19">
        <v>0.59236111111111112</v>
      </c>
      <c r="S799" s="17" t="s">
        <v>19</v>
      </c>
      <c r="T799" s="17">
        <v>9.07</v>
      </c>
      <c r="U799" s="17">
        <v>100</v>
      </c>
    </row>
    <row r="800" spans="5:21" x14ac:dyDescent="0.25">
      <c r="E800" s="10">
        <v>44070</v>
      </c>
      <c r="F800" s="11">
        <v>0.67708333333333337</v>
      </c>
      <c r="G800" t="s">
        <v>36</v>
      </c>
      <c r="H800">
        <v>2.6</v>
      </c>
      <c r="I800">
        <v>600</v>
      </c>
      <c r="K800" s="14">
        <v>43918</v>
      </c>
      <c r="L800" s="15">
        <v>0.73611111111111116</v>
      </c>
      <c r="M800" s="13" t="s">
        <v>23</v>
      </c>
      <c r="N800" s="13">
        <v>3.6</v>
      </c>
      <c r="O800" s="13">
        <v>50</v>
      </c>
      <c r="Q800" s="18">
        <v>43989</v>
      </c>
      <c r="R800" s="19">
        <v>0.8125</v>
      </c>
      <c r="S800" s="17" t="s">
        <v>16</v>
      </c>
      <c r="T800" s="17">
        <v>5.35</v>
      </c>
      <c r="U800" s="17">
        <v>50</v>
      </c>
    </row>
    <row r="801" spans="5:21" x14ac:dyDescent="0.25">
      <c r="E801" s="10">
        <v>44070</v>
      </c>
      <c r="F801" s="11">
        <v>0.50763888888888886</v>
      </c>
      <c r="G801" t="s">
        <v>36</v>
      </c>
      <c r="H801">
        <v>0.25</v>
      </c>
      <c r="I801">
        <v>25</v>
      </c>
      <c r="K801" s="14">
        <v>43918</v>
      </c>
      <c r="L801" s="15">
        <v>0.72916666666666663</v>
      </c>
      <c r="M801" s="13" t="s">
        <v>23</v>
      </c>
      <c r="N801" s="13">
        <v>3.93</v>
      </c>
      <c r="O801" s="13">
        <v>140</v>
      </c>
      <c r="Q801" s="18">
        <v>43934</v>
      </c>
      <c r="R801" s="19">
        <v>0.23472222222222219</v>
      </c>
      <c r="S801" s="17" t="s">
        <v>10</v>
      </c>
      <c r="T801" s="17">
        <v>5.74</v>
      </c>
      <c r="U801" s="17">
        <v>400</v>
      </c>
    </row>
    <row r="802" spans="5:21" x14ac:dyDescent="0.25">
      <c r="E802" s="10">
        <v>44072</v>
      </c>
      <c r="F802" s="11">
        <v>0.65416666666666667</v>
      </c>
      <c r="G802" t="s">
        <v>36</v>
      </c>
      <c r="H802">
        <v>2.17</v>
      </c>
      <c r="I802">
        <v>100</v>
      </c>
      <c r="K802" s="14">
        <v>43918</v>
      </c>
      <c r="L802" s="15">
        <v>0.80902777777777779</v>
      </c>
      <c r="M802" s="13" t="s">
        <v>23</v>
      </c>
      <c r="N802" s="13">
        <v>3.8</v>
      </c>
      <c r="O802" s="13">
        <v>50</v>
      </c>
      <c r="Q802" s="18">
        <v>44070</v>
      </c>
      <c r="R802" s="19">
        <v>0.84236111111111101</v>
      </c>
      <c r="S802" s="17" t="s">
        <v>29</v>
      </c>
      <c r="T802" s="17">
        <v>4.47</v>
      </c>
      <c r="U802" s="17">
        <v>120</v>
      </c>
    </row>
    <row r="803" spans="5:21" x14ac:dyDescent="0.25">
      <c r="E803" s="10">
        <v>44072</v>
      </c>
      <c r="F803" s="11">
        <v>0.7055555555555556</v>
      </c>
      <c r="G803" t="s">
        <v>36</v>
      </c>
      <c r="H803">
        <v>0.47</v>
      </c>
      <c r="I803">
        <v>100</v>
      </c>
      <c r="K803" s="14">
        <v>43918</v>
      </c>
      <c r="L803" s="15">
        <v>0.7006944444444444</v>
      </c>
      <c r="M803" s="13" t="s">
        <v>23</v>
      </c>
      <c r="N803" s="13">
        <v>2.06</v>
      </c>
      <c r="O803" s="13">
        <v>115</v>
      </c>
      <c r="Q803" s="18">
        <v>44030</v>
      </c>
      <c r="R803" s="19">
        <v>1.1805555555555555E-2</v>
      </c>
      <c r="S803" s="17" t="s">
        <v>8</v>
      </c>
      <c r="T803" s="17">
        <v>1.26</v>
      </c>
      <c r="U803" s="17">
        <v>75</v>
      </c>
    </row>
    <row r="804" spans="5:21" x14ac:dyDescent="0.25">
      <c r="E804" s="10">
        <v>44072</v>
      </c>
      <c r="F804" s="11">
        <v>0.6430555555555556</v>
      </c>
      <c r="G804" t="s">
        <v>36</v>
      </c>
      <c r="H804">
        <v>0.26</v>
      </c>
      <c r="I804">
        <v>50</v>
      </c>
      <c r="K804" s="14">
        <v>43918</v>
      </c>
      <c r="L804" s="15">
        <v>0.54097222222222219</v>
      </c>
      <c r="M804" s="13" t="s">
        <v>23</v>
      </c>
      <c r="N804" s="13">
        <v>7.47</v>
      </c>
      <c r="O804" s="13">
        <v>115</v>
      </c>
      <c r="Q804" s="18">
        <v>43992</v>
      </c>
      <c r="R804" s="19">
        <v>0.77013888888888893</v>
      </c>
      <c r="S804" s="17" t="s">
        <v>10</v>
      </c>
      <c r="T804" s="17">
        <v>0.41</v>
      </c>
      <c r="U804" s="17">
        <v>30</v>
      </c>
    </row>
    <row r="805" spans="5:21" x14ac:dyDescent="0.25">
      <c r="E805" s="10">
        <v>44111</v>
      </c>
      <c r="F805" s="11">
        <v>0.55138888888888882</v>
      </c>
      <c r="G805" t="s">
        <v>36</v>
      </c>
      <c r="H805">
        <v>0.11</v>
      </c>
      <c r="I805">
        <v>20</v>
      </c>
      <c r="K805" s="14">
        <v>43918</v>
      </c>
      <c r="L805" s="15">
        <v>0.69374999999999998</v>
      </c>
      <c r="M805" s="13" t="s">
        <v>23</v>
      </c>
      <c r="N805" s="13">
        <v>2.3199999999999998</v>
      </c>
      <c r="O805" s="13">
        <v>40</v>
      </c>
      <c r="Q805" s="18">
        <v>43893</v>
      </c>
      <c r="R805" s="19">
        <v>0.25277777777777777</v>
      </c>
      <c r="S805" s="17" t="s">
        <v>20</v>
      </c>
      <c r="T805" s="17">
        <v>4.34</v>
      </c>
      <c r="U805" s="17">
        <v>220</v>
      </c>
    </row>
    <row r="806" spans="5:21" x14ac:dyDescent="0.25">
      <c r="E806" s="10">
        <v>43841</v>
      </c>
      <c r="F806" s="11">
        <v>0.88541666666666663</v>
      </c>
      <c r="G806" t="s">
        <v>27</v>
      </c>
      <c r="H806">
        <v>6.34</v>
      </c>
      <c r="I806">
        <v>175</v>
      </c>
      <c r="K806" s="14">
        <v>43918</v>
      </c>
      <c r="L806" s="15">
        <v>0.71875</v>
      </c>
      <c r="M806" s="13" t="s">
        <v>23</v>
      </c>
      <c r="N806" s="13">
        <v>7.38</v>
      </c>
      <c r="O806" s="13">
        <v>50</v>
      </c>
      <c r="Q806" s="18">
        <v>43944</v>
      </c>
      <c r="R806" s="19">
        <v>0.6166666666666667</v>
      </c>
      <c r="S806" s="17" t="s">
        <v>19</v>
      </c>
      <c r="T806" s="17">
        <v>17.239999999999998</v>
      </c>
      <c r="U806" s="17">
        <v>400</v>
      </c>
    </row>
    <row r="807" spans="5:21" x14ac:dyDescent="0.25">
      <c r="E807" s="10">
        <v>43841</v>
      </c>
      <c r="F807" s="11">
        <v>0.88263888888888886</v>
      </c>
      <c r="G807" t="s">
        <v>27</v>
      </c>
      <c r="H807">
        <v>3.1</v>
      </c>
      <c r="I807">
        <v>350</v>
      </c>
      <c r="K807" s="14">
        <v>43918</v>
      </c>
      <c r="L807" s="15">
        <v>0.70486111111111116</v>
      </c>
      <c r="M807" s="13" t="s">
        <v>23</v>
      </c>
      <c r="N807" s="13">
        <v>0.32</v>
      </c>
      <c r="O807" s="13">
        <v>20</v>
      </c>
      <c r="Q807" s="18">
        <v>43943</v>
      </c>
      <c r="R807" s="19">
        <v>0.69097222222222221</v>
      </c>
      <c r="S807" s="17" t="s">
        <v>6</v>
      </c>
      <c r="T807" s="17">
        <v>28.51</v>
      </c>
      <c r="U807" s="17">
        <v>1100</v>
      </c>
    </row>
    <row r="808" spans="5:21" x14ac:dyDescent="0.25">
      <c r="E808" s="10">
        <v>43928</v>
      </c>
      <c r="F808" s="11">
        <v>0.92361111111111116</v>
      </c>
      <c r="G808" t="s">
        <v>27</v>
      </c>
      <c r="H808">
        <v>15.74</v>
      </c>
      <c r="I808">
        <v>100</v>
      </c>
      <c r="K808" s="14">
        <v>43974</v>
      </c>
      <c r="L808" s="15">
        <v>0.53680555555555554</v>
      </c>
      <c r="M808" s="13" t="s">
        <v>23</v>
      </c>
      <c r="N808" s="13">
        <v>1.45</v>
      </c>
      <c r="O808" s="13">
        <v>20</v>
      </c>
      <c r="Q808" s="18">
        <v>44189</v>
      </c>
      <c r="R808" s="19">
        <v>0.4694444444444445</v>
      </c>
      <c r="S808" s="17" t="s">
        <v>14</v>
      </c>
      <c r="T808" s="17">
        <v>0.14000000000000001</v>
      </c>
      <c r="U808" s="17">
        <v>20</v>
      </c>
    </row>
    <row r="809" spans="5:21" x14ac:dyDescent="0.25">
      <c r="E809" s="10">
        <v>43928</v>
      </c>
      <c r="F809" s="11">
        <v>0.89236111111111116</v>
      </c>
      <c r="G809" t="s">
        <v>27</v>
      </c>
      <c r="H809">
        <v>11.45</v>
      </c>
      <c r="I809">
        <v>100</v>
      </c>
      <c r="K809" s="14">
        <v>43974</v>
      </c>
      <c r="L809" s="15">
        <v>0.55833333333333335</v>
      </c>
      <c r="M809" s="13" t="s">
        <v>23</v>
      </c>
      <c r="N809" s="13">
        <v>0.04</v>
      </c>
      <c r="O809" s="13">
        <v>10</v>
      </c>
      <c r="Q809" s="18">
        <v>43934</v>
      </c>
      <c r="R809" s="19">
        <v>0.33888888888888885</v>
      </c>
      <c r="S809" s="17" t="s">
        <v>14</v>
      </c>
      <c r="T809" s="17">
        <v>0.08</v>
      </c>
      <c r="U809" s="17">
        <v>60</v>
      </c>
    </row>
    <row r="810" spans="5:21" x14ac:dyDescent="0.25">
      <c r="E810" s="10">
        <v>43928</v>
      </c>
      <c r="F810" s="11">
        <v>0.91111111111111109</v>
      </c>
      <c r="G810" t="s">
        <v>27</v>
      </c>
      <c r="H810">
        <v>9.81</v>
      </c>
      <c r="I810">
        <v>100</v>
      </c>
      <c r="K810" s="14">
        <v>43974</v>
      </c>
      <c r="L810" s="15">
        <v>0.51388888888888895</v>
      </c>
      <c r="M810" s="13" t="s">
        <v>23</v>
      </c>
      <c r="N810" s="13">
        <v>1.19</v>
      </c>
      <c r="O810" s="13">
        <v>20</v>
      </c>
      <c r="Q810" s="18">
        <v>43934</v>
      </c>
      <c r="R810" s="19">
        <v>0.23402777777777781</v>
      </c>
      <c r="S810" s="17" t="s">
        <v>9</v>
      </c>
      <c r="T810" s="17">
        <v>3.2</v>
      </c>
      <c r="U810" s="17">
        <v>500</v>
      </c>
    </row>
    <row r="811" spans="5:21" x14ac:dyDescent="0.25">
      <c r="E811" s="10">
        <v>43928</v>
      </c>
      <c r="F811" s="11">
        <v>0.93958333333333333</v>
      </c>
      <c r="G811" t="s">
        <v>27</v>
      </c>
      <c r="H811">
        <v>5.48</v>
      </c>
      <c r="I811">
        <v>250</v>
      </c>
      <c r="K811" s="14">
        <v>43974</v>
      </c>
      <c r="L811" s="15">
        <v>0.47916666666666669</v>
      </c>
      <c r="M811" s="13" t="s">
        <v>23</v>
      </c>
      <c r="N811" s="13">
        <v>7.05</v>
      </c>
      <c r="O811" s="13">
        <v>50</v>
      </c>
      <c r="Q811" s="18">
        <v>44045</v>
      </c>
      <c r="R811" s="19">
        <v>0.69166666666666676</v>
      </c>
      <c r="S811" s="17" t="s">
        <v>38</v>
      </c>
      <c r="T811" s="17">
        <v>0.5</v>
      </c>
      <c r="U811" s="17">
        <v>100</v>
      </c>
    </row>
    <row r="812" spans="5:21" x14ac:dyDescent="0.25">
      <c r="E812" s="10">
        <v>43928</v>
      </c>
      <c r="F812" s="11">
        <v>0.94236111111111109</v>
      </c>
      <c r="G812" t="s">
        <v>27</v>
      </c>
      <c r="H812">
        <v>3.82</v>
      </c>
      <c r="I812">
        <v>100</v>
      </c>
      <c r="K812" s="14">
        <v>43974</v>
      </c>
      <c r="L812" s="15">
        <v>0.49791666666666662</v>
      </c>
      <c r="M812" s="13" t="s">
        <v>23</v>
      </c>
      <c r="N812" s="13">
        <v>6.86</v>
      </c>
      <c r="O812" s="13">
        <v>30</v>
      </c>
      <c r="Q812" s="18">
        <v>43933</v>
      </c>
      <c r="R812" s="19">
        <v>0.48680555555555555</v>
      </c>
      <c r="S812" s="17" t="s">
        <v>26</v>
      </c>
      <c r="T812" s="17">
        <v>1.1599999999999999</v>
      </c>
      <c r="U812" s="17">
        <v>170</v>
      </c>
    </row>
    <row r="813" spans="5:21" x14ac:dyDescent="0.25">
      <c r="E813" s="10">
        <v>43928</v>
      </c>
      <c r="F813" s="11">
        <v>0.94236111111111109</v>
      </c>
      <c r="G813" t="s">
        <v>27</v>
      </c>
      <c r="H813">
        <v>2.96</v>
      </c>
      <c r="I813">
        <v>100</v>
      </c>
      <c r="K813" s="14">
        <v>43976</v>
      </c>
      <c r="L813" s="15">
        <v>0.72638888888888886</v>
      </c>
      <c r="M813" s="13" t="s">
        <v>23</v>
      </c>
      <c r="N813" s="13">
        <v>1.56</v>
      </c>
      <c r="O813" s="13">
        <v>50</v>
      </c>
      <c r="Q813" s="18">
        <v>43992</v>
      </c>
      <c r="R813" s="19">
        <v>0.81319444444444444</v>
      </c>
      <c r="S813" s="17" t="s">
        <v>34</v>
      </c>
      <c r="T813" s="17">
        <v>9.6</v>
      </c>
      <c r="U813" s="17">
        <v>790</v>
      </c>
    </row>
    <row r="814" spans="5:21" x14ac:dyDescent="0.25">
      <c r="E814" s="10">
        <v>43929</v>
      </c>
      <c r="F814" s="11">
        <v>0.86805555555555547</v>
      </c>
      <c r="G814" t="s">
        <v>27</v>
      </c>
      <c r="H814">
        <v>8.8000000000000007</v>
      </c>
      <c r="I814">
        <v>200</v>
      </c>
      <c r="K814" s="14">
        <v>43977</v>
      </c>
      <c r="L814" s="15">
        <v>0.51944444444444449</v>
      </c>
      <c r="M814" s="13" t="s">
        <v>23</v>
      </c>
      <c r="N814" s="13">
        <v>1.69</v>
      </c>
      <c r="O814" s="13">
        <v>30</v>
      </c>
      <c r="Q814" s="18">
        <v>44045</v>
      </c>
      <c r="R814" s="19">
        <v>0.70694444444444438</v>
      </c>
      <c r="S814" s="17" t="s">
        <v>45</v>
      </c>
      <c r="T814" s="17">
        <v>8.39</v>
      </c>
      <c r="U814" s="17">
        <v>100</v>
      </c>
    </row>
    <row r="815" spans="5:21" x14ac:dyDescent="0.25">
      <c r="E815" s="10">
        <v>43929</v>
      </c>
      <c r="F815" s="11">
        <v>0.84861111111111109</v>
      </c>
      <c r="G815" t="s">
        <v>27</v>
      </c>
      <c r="H815">
        <v>6.2</v>
      </c>
      <c r="I815">
        <v>300</v>
      </c>
      <c r="K815" s="14">
        <v>43977</v>
      </c>
      <c r="L815" s="15">
        <v>0.51250000000000007</v>
      </c>
      <c r="M815" s="13" t="s">
        <v>23</v>
      </c>
      <c r="N815" s="13">
        <v>0.95</v>
      </c>
      <c r="O815" s="13">
        <v>40</v>
      </c>
      <c r="Q815" s="18">
        <v>43933</v>
      </c>
      <c r="R815" s="19">
        <v>0.4597222222222222</v>
      </c>
      <c r="S815" s="17" t="s">
        <v>26</v>
      </c>
      <c r="T815" s="17">
        <v>3.03</v>
      </c>
      <c r="U815" s="17">
        <v>200</v>
      </c>
    </row>
    <row r="816" spans="5:21" x14ac:dyDescent="0.25">
      <c r="E816" s="10">
        <v>43929</v>
      </c>
      <c r="F816" s="11">
        <v>0.85902777777777783</v>
      </c>
      <c r="G816" t="s">
        <v>27</v>
      </c>
      <c r="H816">
        <v>3.3</v>
      </c>
      <c r="I816">
        <v>350</v>
      </c>
      <c r="K816" s="14">
        <v>43977</v>
      </c>
      <c r="L816" s="15">
        <v>0.62013888888888891</v>
      </c>
      <c r="M816" s="13" t="s">
        <v>23</v>
      </c>
      <c r="N816" s="13">
        <v>2.94</v>
      </c>
      <c r="O816" s="13">
        <v>35</v>
      </c>
      <c r="Q816" s="18">
        <v>43942</v>
      </c>
      <c r="R816" s="19">
        <v>0.93611111111111101</v>
      </c>
      <c r="S816" s="17" t="s">
        <v>33</v>
      </c>
      <c r="T816" s="17">
        <v>0.28999999999999998</v>
      </c>
      <c r="U816" s="17">
        <v>100</v>
      </c>
    </row>
    <row r="817" spans="5:21" x14ac:dyDescent="0.25">
      <c r="E817" s="10">
        <v>43929</v>
      </c>
      <c r="F817" s="11">
        <v>0.87222222222222223</v>
      </c>
      <c r="G817" t="s">
        <v>27</v>
      </c>
      <c r="H817">
        <v>2.4</v>
      </c>
      <c r="I817">
        <v>50</v>
      </c>
      <c r="K817" s="14">
        <v>43977</v>
      </c>
      <c r="L817" s="15">
        <v>0.63611111111111118</v>
      </c>
      <c r="M817" s="13" t="s">
        <v>23</v>
      </c>
      <c r="N817" s="13">
        <v>0.66</v>
      </c>
      <c r="O817" s="13">
        <v>20</v>
      </c>
      <c r="Q817" s="18">
        <v>43909</v>
      </c>
      <c r="R817" s="19">
        <v>0.61388888888888882</v>
      </c>
      <c r="S817" s="17" t="s">
        <v>15</v>
      </c>
      <c r="T817" s="17">
        <v>3.17</v>
      </c>
      <c r="U817" s="17">
        <v>125</v>
      </c>
    </row>
    <row r="818" spans="5:21" x14ac:dyDescent="0.25">
      <c r="E818" s="10">
        <v>43929</v>
      </c>
      <c r="F818" s="11">
        <v>0.87569444444444444</v>
      </c>
      <c r="G818" t="s">
        <v>27</v>
      </c>
      <c r="H818">
        <v>0.88</v>
      </c>
      <c r="I818">
        <v>50</v>
      </c>
      <c r="K818" s="14">
        <v>43977</v>
      </c>
      <c r="L818" s="15">
        <v>0.60972222222222217</v>
      </c>
      <c r="M818" s="13" t="s">
        <v>23</v>
      </c>
      <c r="N818" s="13">
        <v>5.14</v>
      </c>
      <c r="O818" s="13">
        <v>250</v>
      </c>
      <c r="Q818" s="18">
        <v>44047</v>
      </c>
      <c r="R818" s="19">
        <v>0.17083333333333331</v>
      </c>
      <c r="S818" s="17" t="s">
        <v>35</v>
      </c>
      <c r="T818" s="17">
        <v>2.2000000000000002</v>
      </c>
      <c r="U818" s="17">
        <v>100</v>
      </c>
    </row>
    <row r="819" spans="5:21" x14ac:dyDescent="0.25">
      <c r="E819" s="10">
        <v>43929</v>
      </c>
      <c r="F819" s="11">
        <v>0.87013888888888891</v>
      </c>
      <c r="G819" t="s">
        <v>27</v>
      </c>
      <c r="H819">
        <v>0.8</v>
      </c>
      <c r="I819">
        <v>75</v>
      </c>
      <c r="K819" s="14">
        <v>43977</v>
      </c>
      <c r="L819" s="15">
        <v>0.5444444444444444</v>
      </c>
      <c r="M819" s="13" t="s">
        <v>23</v>
      </c>
      <c r="N819" s="13">
        <v>0.6</v>
      </c>
      <c r="O819" s="13">
        <v>20</v>
      </c>
      <c r="Q819" s="18">
        <v>44057</v>
      </c>
      <c r="R819" s="19">
        <v>0.69930555555555562</v>
      </c>
      <c r="S819" s="17" t="s">
        <v>8</v>
      </c>
      <c r="T819" s="17">
        <v>1.31</v>
      </c>
      <c r="U819" s="17">
        <v>65</v>
      </c>
    </row>
    <row r="820" spans="5:21" x14ac:dyDescent="0.25">
      <c r="E820" s="10">
        <v>43929</v>
      </c>
      <c r="F820" s="11">
        <v>0.93958333333333333</v>
      </c>
      <c r="G820" t="s">
        <v>27</v>
      </c>
      <c r="H820">
        <v>0.25</v>
      </c>
      <c r="I820">
        <v>125</v>
      </c>
      <c r="K820" s="14">
        <v>43977</v>
      </c>
      <c r="L820" s="15">
        <v>0.55694444444444446</v>
      </c>
      <c r="M820" s="13" t="s">
        <v>23</v>
      </c>
      <c r="N820" s="13">
        <v>0.21</v>
      </c>
      <c r="O820" s="13">
        <v>20</v>
      </c>
      <c r="Q820" s="18">
        <v>44061</v>
      </c>
      <c r="R820" s="19">
        <v>0.57500000000000007</v>
      </c>
      <c r="S820" s="17" t="s">
        <v>19</v>
      </c>
      <c r="T820" s="17">
        <v>0.05</v>
      </c>
      <c r="U820" s="17">
        <v>70</v>
      </c>
    </row>
    <row r="821" spans="5:21" x14ac:dyDescent="0.25">
      <c r="E821" s="10">
        <v>43969</v>
      </c>
      <c r="F821" s="11">
        <v>0.61736111111111114</v>
      </c>
      <c r="G821" t="s">
        <v>27</v>
      </c>
      <c r="H821">
        <v>1.92</v>
      </c>
      <c r="I821">
        <v>75</v>
      </c>
      <c r="K821" s="14">
        <v>44000</v>
      </c>
      <c r="L821" s="15">
        <v>0.73402777777777783</v>
      </c>
      <c r="M821" s="13" t="s">
        <v>23</v>
      </c>
      <c r="N821" s="13">
        <v>0.72</v>
      </c>
      <c r="O821" s="13">
        <v>30</v>
      </c>
      <c r="Q821" s="18">
        <v>43974</v>
      </c>
      <c r="R821" s="19">
        <v>0.49791666666666662</v>
      </c>
      <c r="S821" s="17" t="s">
        <v>23</v>
      </c>
      <c r="T821" s="17">
        <v>6.86</v>
      </c>
      <c r="U821" s="17">
        <v>30</v>
      </c>
    </row>
    <row r="822" spans="5:21" x14ac:dyDescent="0.25">
      <c r="E822" s="10">
        <v>43991</v>
      </c>
      <c r="F822" s="11">
        <v>0.77222222222222225</v>
      </c>
      <c r="G822" t="s">
        <v>27</v>
      </c>
      <c r="H822">
        <v>0.5</v>
      </c>
      <c r="I822">
        <v>75</v>
      </c>
      <c r="K822" s="14">
        <v>44053</v>
      </c>
      <c r="L822" s="15">
        <v>0.4375</v>
      </c>
      <c r="M822" s="13" t="s">
        <v>23</v>
      </c>
      <c r="N822" s="13">
        <v>1.03</v>
      </c>
      <c r="O822" s="13">
        <v>50</v>
      </c>
      <c r="Q822" s="18">
        <v>44162</v>
      </c>
      <c r="R822" s="19">
        <v>0.62291666666666667</v>
      </c>
      <c r="S822" s="17" t="s">
        <v>24</v>
      </c>
      <c r="T822" s="17">
        <v>2</v>
      </c>
      <c r="U822" s="17">
        <v>50</v>
      </c>
    </row>
    <row r="823" spans="5:21" x14ac:dyDescent="0.25">
      <c r="E823" s="10">
        <v>43992</v>
      </c>
      <c r="F823" s="11">
        <v>0.6791666666666667</v>
      </c>
      <c r="G823" t="s">
        <v>27</v>
      </c>
      <c r="H823">
        <v>5.9</v>
      </c>
      <c r="I823">
        <v>300</v>
      </c>
      <c r="K823" s="14">
        <v>44053</v>
      </c>
      <c r="L823" s="15">
        <v>0.44166666666666665</v>
      </c>
      <c r="M823" s="13" t="s">
        <v>23</v>
      </c>
      <c r="N823" s="13">
        <v>0.42</v>
      </c>
      <c r="O823" s="13">
        <v>50</v>
      </c>
      <c r="Q823" s="18">
        <v>43933</v>
      </c>
      <c r="R823" s="19">
        <v>0.71527777777777779</v>
      </c>
      <c r="S823" s="17" t="s">
        <v>20</v>
      </c>
      <c r="T823" s="17">
        <v>21.74</v>
      </c>
      <c r="U823" s="17">
        <v>440</v>
      </c>
    </row>
    <row r="824" spans="5:21" x14ac:dyDescent="0.25">
      <c r="E824" s="10">
        <v>43992</v>
      </c>
      <c r="F824" s="11">
        <v>0.7993055555555556</v>
      </c>
      <c r="G824" t="s">
        <v>27</v>
      </c>
      <c r="H824">
        <v>2.4300000000000002</v>
      </c>
      <c r="I824">
        <v>150</v>
      </c>
      <c r="K824" s="14">
        <v>44053</v>
      </c>
      <c r="L824" s="15">
        <v>0.45902777777777781</v>
      </c>
      <c r="M824" s="13" t="s">
        <v>23</v>
      </c>
      <c r="N824" s="13">
        <v>1.48</v>
      </c>
      <c r="O824" s="13">
        <v>40</v>
      </c>
      <c r="Q824" s="18">
        <v>43934</v>
      </c>
      <c r="R824" s="19">
        <v>0.25694444444444448</v>
      </c>
      <c r="S824" s="17" t="s">
        <v>14</v>
      </c>
      <c r="T824" s="17">
        <v>0.57999999999999996</v>
      </c>
      <c r="U824" s="17">
        <v>100</v>
      </c>
    </row>
    <row r="825" spans="5:21" x14ac:dyDescent="0.25">
      <c r="E825" s="10">
        <v>43992</v>
      </c>
      <c r="F825" s="11">
        <v>0.80833333333333324</v>
      </c>
      <c r="G825" t="s">
        <v>27</v>
      </c>
      <c r="H825">
        <v>0.75</v>
      </c>
      <c r="I825">
        <v>75</v>
      </c>
      <c r="K825" s="14">
        <v>44053</v>
      </c>
      <c r="L825" s="15">
        <v>0.47986111111111113</v>
      </c>
      <c r="M825" s="13" t="s">
        <v>23</v>
      </c>
      <c r="N825" s="13">
        <v>0.92</v>
      </c>
      <c r="O825" s="13">
        <v>40</v>
      </c>
      <c r="Q825" s="18">
        <v>43909</v>
      </c>
      <c r="R825" s="19">
        <v>2.0833333333333332E-2</v>
      </c>
      <c r="S825" s="17" t="s">
        <v>6</v>
      </c>
      <c r="T825" s="17">
        <v>0.23</v>
      </c>
      <c r="U825" s="17">
        <v>35</v>
      </c>
    </row>
    <row r="826" spans="5:21" x14ac:dyDescent="0.25">
      <c r="E826" s="10">
        <v>44081</v>
      </c>
      <c r="F826" s="11">
        <v>0.63472222222222219</v>
      </c>
      <c r="G826" t="s">
        <v>27</v>
      </c>
      <c r="H826">
        <v>3.21</v>
      </c>
      <c r="I826">
        <v>150</v>
      </c>
      <c r="K826" s="14">
        <v>44053</v>
      </c>
      <c r="L826" s="15">
        <v>0.44375000000000003</v>
      </c>
      <c r="M826" s="13" t="s">
        <v>23</v>
      </c>
      <c r="N826" s="13">
        <v>2.88</v>
      </c>
      <c r="O826" s="13">
        <v>100</v>
      </c>
      <c r="Q826" s="18">
        <v>43992</v>
      </c>
      <c r="R826" s="19">
        <v>0.7993055555555556</v>
      </c>
      <c r="S826" s="17" t="s">
        <v>27</v>
      </c>
      <c r="T826" s="17">
        <v>2.4300000000000002</v>
      </c>
      <c r="U826" s="17">
        <v>150</v>
      </c>
    </row>
    <row r="827" spans="5:21" x14ac:dyDescent="0.25">
      <c r="E827" s="10">
        <v>43840</v>
      </c>
      <c r="F827" s="11">
        <v>0.61736111111111114</v>
      </c>
      <c r="G827" t="s">
        <v>33</v>
      </c>
      <c r="H827">
        <v>5.8</v>
      </c>
      <c r="I827">
        <v>250</v>
      </c>
      <c r="K827" s="14">
        <v>43841</v>
      </c>
      <c r="L827" s="15">
        <v>0.66111111111111109</v>
      </c>
      <c r="M827" s="13" t="s">
        <v>9</v>
      </c>
      <c r="N827" s="13">
        <v>3.86</v>
      </c>
      <c r="O827" s="13">
        <v>400</v>
      </c>
      <c r="Q827" s="18">
        <v>44002</v>
      </c>
      <c r="R827" s="19">
        <v>0.79791666666666661</v>
      </c>
      <c r="S827" s="17" t="s">
        <v>16</v>
      </c>
      <c r="T827" s="17">
        <v>0.18</v>
      </c>
      <c r="U827" s="17">
        <v>10</v>
      </c>
    </row>
    <row r="828" spans="5:21" x14ac:dyDescent="0.25">
      <c r="E828" s="10">
        <v>43840</v>
      </c>
      <c r="F828" s="11">
        <v>0.44027777777777777</v>
      </c>
      <c r="G828" t="s">
        <v>33</v>
      </c>
      <c r="H828">
        <v>1.3</v>
      </c>
      <c r="I828">
        <v>10</v>
      </c>
      <c r="K828" s="14">
        <v>43841</v>
      </c>
      <c r="L828" s="15">
        <v>0.68333333333333324</v>
      </c>
      <c r="M828" s="13" t="s">
        <v>9</v>
      </c>
      <c r="N828" s="13">
        <v>3.05</v>
      </c>
      <c r="O828" s="13">
        <v>450</v>
      </c>
      <c r="Q828" s="18">
        <v>44006</v>
      </c>
      <c r="R828" s="19">
        <v>0.5</v>
      </c>
      <c r="S828" s="17" t="s">
        <v>24</v>
      </c>
      <c r="T828" s="17">
        <v>1.27</v>
      </c>
      <c r="U828" s="17">
        <v>50</v>
      </c>
    </row>
    <row r="829" spans="5:21" x14ac:dyDescent="0.25">
      <c r="E829" s="10">
        <v>43840</v>
      </c>
      <c r="F829" s="11">
        <v>0.49652777777777773</v>
      </c>
      <c r="G829" t="s">
        <v>33</v>
      </c>
      <c r="H829">
        <v>1</v>
      </c>
      <c r="I829">
        <v>50</v>
      </c>
      <c r="K829" s="14">
        <v>43841</v>
      </c>
      <c r="L829" s="15">
        <v>0.70000000000000007</v>
      </c>
      <c r="M829" s="13" t="s">
        <v>9</v>
      </c>
      <c r="N829" s="13">
        <v>0.34</v>
      </c>
      <c r="O829" s="13">
        <v>100</v>
      </c>
      <c r="Q829" s="18">
        <v>43972</v>
      </c>
      <c r="R829" s="19">
        <v>0.65763888888888888</v>
      </c>
      <c r="S829" s="17" t="s">
        <v>7</v>
      </c>
      <c r="T829" s="17">
        <v>2</v>
      </c>
      <c r="U829" s="17">
        <v>25</v>
      </c>
    </row>
    <row r="830" spans="5:21" x14ac:dyDescent="0.25">
      <c r="E830" s="10">
        <v>43909</v>
      </c>
      <c r="F830" s="11">
        <v>0.3923611111111111</v>
      </c>
      <c r="G830" t="s">
        <v>33</v>
      </c>
      <c r="H830">
        <v>2.7</v>
      </c>
      <c r="I830">
        <v>225</v>
      </c>
      <c r="K830" s="14">
        <v>43843</v>
      </c>
      <c r="L830" s="15">
        <v>0.97222222222222221</v>
      </c>
      <c r="M830" s="13" t="s">
        <v>9</v>
      </c>
      <c r="N830" s="13">
        <v>0.28000000000000003</v>
      </c>
      <c r="O830" s="13">
        <v>50</v>
      </c>
      <c r="Q830" s="18">
        <v>44030</v>
      </c>
      <c r="R830" s="19">
        <v>0.875</v>
      </c>
      <c r="S830" s="17" t="s">
        <v>32</v>
      </c>
      <c r="T830" s="17">
        <v>6.23</v>
      </c>
      <c r="U830" s="17">
        <v>400</v>
      </c>
    </row>
    <row r="831" spans="5:21" x14ac:dyDescent="0.25">
      <c r="E831" s="10">
        <v>43909</v>
      </c>
      <c r="F831" s="11">
        <v>3.6805555555555557E-2</v>
      </c>
      <c r="G831" t="s">
        <v>33</v>
      </c>
      <c r="H831">
        <v>0.6</v>
      </c>
      <c r="I831">
        <v>75</v>
      </c>
      <c r="K831" s="14">
        <v>43843</v>
      </c>
      <c r="L831" s="15">
        <v>0.95208333333333339</v>
      </c>
      <c r="M831" s="13" t="s">
        <v>9</v>
      </c>
      <c r="N831" s="13">
        <v>1.46</v>
      </c>
      <c r="O831" s="13">
        <v>100</v>
      </c>
      <c r="Q831" s="18">
        <v>43991</v>
      </c>
      <c r="R831" s="19">
        <v>0.72638888888888886</v>
      </c>
      <c r="S831" s="17" t="s">
        <v>12</v>
      </c>
      <c r="T831" s="17">
        <v>0.01</v>
      </c>
      <c r="U831" s="17">
        <v>10</v>
      </c>
    </row>
    <row r="832" spans="5:21" x14ac:dyDescent="0.25">
      <c r="E832" s="10">
        <v>43942</v>
      </c>
      <c r="F832" s="11">
        <v>0.94652777777777775</v>
      </c>
      <c r="G832" t="s">
        <v>33</v>
      </c>
      <c r="H832">
        <v>1.6</v>
      </c>
      <c r="I832">
        <v>100</v>
      </c>
      <c r="K832" s="14">
        <v>43867</v>
      </c>
      <c r="L832" s="15">
        <v>0.83680555555555547</v>
      </c>
      <c r="M832" s="13" t="s">
        <v>9</v>
      </c>
      <c r="N832" s="13">
        <v>0.18</v>
      </c>
      <c r="O832" s="13">
        <v>50</v>
      </c>
      <c r="Q832" s="18">
        <v>43989</v>
      </c>
      <c r="R832" s="19">
        <v>0.82777777777777783</v>
      </c>
      <c r="S832" s="17" t="s">
        <v>31</v>
      </c>
      <c r="T832" s="17">
        <v>0.1</v>
      </c>
      <c r="U832" s="17">
        <v>50</v>
      </c>
    </row>
    <row r="833" spans="5:21" x14ac:dyDescent="0.25">
      <c r="E833" s="10">
        <v>43942</v>
      </c>
      <c r="F833" s="11">
        <v>0.93611111111111101</v>
      </c>
      <c r="G833" t="s">
        <v>33</v>
      </c>
      <c r="H833">
        <v>0.28999999999999998</v>
      </c>
      <c r="I833">
        <v>100</v>
      </c>
      <c r="K833" s="14">
        <v>43867</v>
      </c>
      <c r="L833" s="15">
        <v>0.18611111111111112</v>
      </c>
      <c r="M833" s="13" t="s">
        <v>9</v>
      </c>
      <c r="N833" s="13">
        <v>2.2400000000000002</v>
      </c>
      <c r="O833" s="13">
        <v>200</v>
      </c>
      <c r="Q833" s="18">
        <v>43975</v>
      </c>
      <c r="R833" s="19">
        <v>0.7993055555555556</v>
      </c>
      <c r="S833" s="17" t="s">
        <v>6</v>
      </c>
      <c r="T833" s="17">
        <v>0.47</v>
      </c>
      <c r="U833" s="17">
        <v>50</v>
      </c>
    </row>
    <row r="834" spans="5:21" x14ac:dyDescent="0.25">
      <c r="E834" s="10">
        <v>43943</v>
      </c>
      <c r="F834" s="11">
        <v>0.68888888888888899</v>
      </c>
      <c r="G834" t="s">
        <v>33</v>
      </c>
      <c r="H834">
        <v>5.21</v>
      </c>
      <c r="I834">
        <v>500</v>
      </c>
      <c r="K834" s="14">
        <v>43921</v>
      </c>
      <c r="L834" s="15">
        <v>0.44861111111111113</v>
      </c>
      <c r="M834" s="13" t="s">
        <v>9</v>
      </c>
      <c r="N834" s="13">
        <v>22.12</v>
      </c>
      <c r="O834" s="13">
        <v>200</v>
      </c>
      <c r="Q834" s="18">
        <v>43972</v>
      </c>
      <c r="R834" s="19">
        <v>0.53125</v>
      </c>
      <c r="S834" s="17" t="s">
        <v>19</v>
      </c>
      <c r="T834" s="17">
        <v>0.25</v>
      </c>
      <c r="U834" s="17">
        <v>25</v>
      </c>
    </row>
    <row r="835" spans="5:21" x14ac:dyDescent="0.25">
      <c r="E835" s="10">
        <v>43943</v>
      </c>
      <c r="F835" s="11">
        <v>0.68472222222222223</v>
      </c>
      <c r="G835" t="s">
        <v>33</v>
      </c>
      <c r="H835">
        <v>5</v>
      </c>
      <c r="I835">
        <v>100</v>
      </c>
      <c r="K835" s="14">
        <v>43929</v>
      </c>
      <c r="L835" s="15">
        <v>0.76527777777777783</v>
      </c>
      <c r="M835" s="13" t="s">
        <v>9</v>
      </c>
      <c r="N835" s="13">
        <v>4.41</v>
      </c>
      <c r="O835" s="13">
        <v>300</v>
      </c>
      <c r="Q835" s="18">
        <v>43973</v>
      </c>
      <c r="R835" s="19">
        <v>0.71319444444444446</v>
      </c>
      <c r="S835" s="17" t="s">
        <v>6</v>
      </c>
      <c r="T835" s="17">
        <v>0.1</v>
      </c>
      <c r="U835" s="17">
        <v>30</v>
      </c>
    </row>
    <row r="836" spans="5:21" x14ac:dyDescent="0.25">
      <c r="E836" s="10">
        <v>43943</v>
      </c>
      <c r="F836" s="11">
        <v>0.64166666666666672</v>
      </c>
      <c r="G836" t="s">
        <v>33</v>
      </c>
      <c r="H836">
        <v>4.7300000000000004</v>
      </c>
      <c r="I836">
        <v>600</v>
      </c>
      <c r="K836" s="14">
        <v>43933</v>
      </c>
      <c r="L836" s="15">
        <v>0.88541666666666663</v>
      </c>
      <c r="M836" s="13" t="s">
        <v>9</v>
      </c>
      <c r="N836" s="13">
        <v>4.93</v>
      </c>
      <c r="O836" s="13">
        <v>580</v>
      </c>
      <c r="Q836" s="18">
        <v>44057</v>
      </c>
      <c r="R836" s="19">
        <v>0.64861111111111114</v>
      </c>
      <c r="S836" s="17" t="s">
        <v>8</v>
      </c>
      <c r="T836" s="17">
        <v>0.03</v>
      </c>
      <c r="U836" s="17">
        <v>10</v>
      </c>
    </row>
    <row r="837" spans="5:21" x14ac:dyDescent="0.25">
      <c r="E837" s="10">
        <v>43943</v>
      </c>
      <c r="F837" s="11">
        <v>0.66180555555555554</v>
      </c>
      <c r="G837" t="s">
        <v>33</v>
      </c>
      <c r="H837">
        <v>4.25</v>
      </c>
      <c r="I837">
        <v>400</v>
      </c>
      <c r="K837" s="14">
        <v>43933</v>
      </c>
      <c r="L837" s="15">
        <v>0.96250000000000002</v>
      </c>
      <c r="M837" s="13" t="s">
        <v>9</v>
      </c>
      <c r="N837" s="13">
        <v>12.76</v>
      </c>
      <c r="O837" s="13">
        <v>250</v>
      </c>
      <c r="Q837" s="18">
        <v>43921</v>
      </c>
      <c r="R837" s="19">
        <v>0.59027777777777779</v>
      </c>
      <c r="S837" s="17" t="s">
        <v>19</v>
      </c>
      <c r="T837" s="17">
        <v>9.2100000000000009</v>
      </c>
      <c r="U837" s="17">
        <v>150</v>
      </c>
    </row>
    <row r="838" spans="5:21" x14ac:dyDescent="0.25">
      <c r="E838" s="10">
        <v>43943</v>
      </c>
      <c r="F838" s="11">
        <v>0.63680555555555551</v>
      </c>
      <c r="G838" t="s">
        <v>33</v>
      </c>
      <c r="H838">
        <v>2.2000000000000002</v>
      </c>
      <c r="I838">
        <v>600</v>
      </c>
      <c r="K838" s="14">
        <v>43933</v>
      </c>
      <c r="L838" s="15">
        <v>0.9458333333333333</v>
      </c>
      <c r="M838" s="13" t="s">
        <v>9</v>
      </c>
      <c r="N838" s="13">
        <v>3.21</v>
      </c>
      <c r="O838" s="13">
        <v>50</v>
      </c>
      <c r="Q838" s="18">
        <v>44090</v>
      </c>
      <c r="R838" s="19">
        <v>0.60416666666666663</v>
      </c>
      <c r="S838" s="17" t="s">
        <v>9</v>
      </c>
      <c r="T838" s="17">
        <v>2.2200000000000002</v>
      </c>
      <c r="U838" s="17">
        <v>50</v>
      </c>
    </row>
    <row r="839" spans="5:21" x14ac:dyDescent="0.25">
      <c r="E839" s="10">
        <v>43943</v>
      </c>
      <c r="F839" s="11">
        <v>0.67361111111111116</v>
      </c>
      <c r="G839" t="s">
        <v>33</v>
      </c>
      <c r="H839">
        <v>1.4</v>
      </c>
      <c r="I839">
        <v>50</v>
      </c>
      <c r="K839" s="14">
        <v>43933</v>
      </c>
      <c r="L839" s="15">
        <v>0.88541666666666663</v>
      </c>
      <c r="M839" s="13" t="s">
        <v>9</v>
      </c>
      <c r="N839" s="13">
        <v>19.34</v>
      </c>
      <c r="O839" s="13">
        <v>1500</v>
      </c>
      <c r="Q839" s="18">
        <v>43977</v>
      </c>
      <c r="R839" s="19">
        <v>0.5444444444444444</v>
      </c>
      <c r="S839" s="17" t="s">
        <v>23</v>
      </c>
      <c r="T839" s="17">
        <v>0.6</v>
      </c>
      <c r="U839" s="17">
        <v>20</v>
      </c>
    </row>
    <row r="840" spans="5:21" x14ac:dyDescent="0.25">
      <c r="E840" s="10">
        <v>43943</v>
      </c>
      <c r="F840" s="11">
        <v>0.70277777777777783</v>
      </c>
      <c r="G840" t="s">
        <v>33</v>
      </c>
      <c r="H840">
        <v>1.2</v>
      </c>
      <c r="I840">
        <v>30</v>
      </c>
      <c r="K840" s="14">
        <v>43933</v>
      </c>
      <c r="L840" s="15">
        <v>0.76041666666666663</v>
      </c>
      <c r="M840" s="13" t="s">
        <v>9</v>
      </c>
      <c r="N840" s="13">
        <v>14.73</v>
      </c>
      <c r="O840" s="13">
        <v>800</v>
      </c>
      <c r="Q840" s="18">
        <v>44030</v>
      </c>
      <c r="R840" s="19">
        <v>3.3333333333333333E-2</v>
      </c>
      <c r="S840" s="17" t="s">
        <v>32</v>
      </c>
      <c r="T840" s="17">
        <v>0.42</v>
      </c>
      <c r="U840" s="17">
        <v>50</v>
      </c>
    </row>
    <row r="841" spans="5:21" x14ac:dyDescent="0.25">
      <c r="E841" s="10">
        <v>43943</v>
      </c>
      <c r="F841" s="11">
        <v>0.65625</v>
      </c>
      <c r="G841" t="s">
        <v>33</v>
      </c>
      <c r="H841">
        <v>0.2</v>
      </c>
      <c r="I841">
        <v>50</v>
      </c>
      <c r="K841" s="14">
        <v>43933</v>
      </c>
      <c r="L841" s="15">
        <v>0.98055555555555562</v>
      </c>
      <c r="M841" s="13" t="s">
        <v>9</v>
      </c>
      <c r="N841" s="13">
        <v>0.71</v>
      </c>
      <c r="O841" s="13">
        <v>100</v>
      </c>
      <c r="Q841" s="18">
        <v>43928</v>
      </c>
      <c r="R841" s="19">
        <v>0.94444444444444453</v>
      </c>
      <c r="S841" s="17" t="s">
        <v>34</v>
      </c>
      <c r="T841" s="17">
        <v>0.86</v>
      </c>
      <c r="U841" s="17">
        <v>100</v>
      </c>
    </row>
    <row r="842" spans="5:21" x14ac:dyDescent="0.25">
      <c r="E842" s="10">
        <v>43943</v>
      </c>
      <c r="F842" s="11">
        <v>0.64097222222222217</v>
      </c>
      <c r="G842" t="s">
        <v>33</v>
      </c>
      <c r="H842">
        <v>0.1</v>
      </c>
      <c r="I842">
        <v>20</v>
      </c>
      <c r="K842" s="14">
        <v>43933</v>
      </c>
      <c r="L842" s="15">
        <v>0.82291666666666663</v>
      </c>
      <c r="M842" s="13" t="s">
        <v>9</v>
      </c>
      <c r="N842" s="13">
        <v>8.8800000000000008</v>
      </c>
      <c r="O842" s="13">
        <v>860</v>
      </c>
      <c r="Q842" s="18">
        <v>44195</v>
      </c>
      <c r="R842" s="19">
        <v>0.44513888888888892</v>
      </c>
      <c r="S842" s="17" t="s">
        <v>6</v>
      </c>
      <c r="T842" s="17">
        <v>0.98</v>
      </c>
      <c r="U842" s="17">
        <v>75</v>
      </c>
    </row>
    <row r="843" spans="5:21" x14ac:dyDescent="0.25">
      <c r="E843" s="10">
        <v>43943</v>
      </c>
      <c r="F843" s="11">
        <v>0.70763888888888893</v>
      </c>
      <c r="G843" t="s">
        <v>33</v>
      </c>
      <c r="H843">
        <v>0.1</v>
      </c>
      <c r="I843">
        <v>30</v>
      </c>
      <c r="K843" s="14">
        <v>43933</v>
      </c>
      <c r="L843" s="15">
        <v>0.87083333333333324</v>
      </c>
      <c r="M843" s="13" t="s">
        <v>9</v>
      </c>
      <c r="N843" s="13">
        <v>5.59</v>
      </c>
      <c r="O843" s="13">
        <v>350</v>
      </c>
      <c r="Q843" s="18">
        <v>44188</v>
      </c>
      <c r="R843" s="19">
        <v>0.93472222222222223</v>
      </c>
      <c r="S843" s="17" t="s">
        <v>24</v>
      </c>
      <c r="T843" s="17">
        <v>0.72</v>
      </c>
      <c r="U843" s="17">
        <v>50</v>
      </c>
    </row>
    <row r="844" spans="5:21" x14ac:dyDescent="0.25">
      <c r="E844" s="10">
        <v>43949</v>
      </c>
      <c r="F844" s="11">
        <v>0.88888888888888884</v>
      </c>
      <c r="G844" t="s">
        <v>33</v>
      </c>
      <c r="H844">
        <v>19.38</v>
      </c>
      <c r="I844">
        <v>350</v>
      </c>
      <c r="K844" s="14">
        <v>43933</v>
      </c>
      <c r="L844" s="15">
        <v>0.99513888888888891</v>
      </c>
      <c r="M844" s="13" t="s">
        <v>9</v>
      </c>
      <c r="N844" s="13">
        <v>3.76</v>
      </c>
      <c r="O844" s="13">
        <v>50</v>
      </c>
      <c r="Q844" s="18">
        <v>44020</v>
      </c>
      <c r="R844" s="19">
        <v>0.74236111111111114</v>
      </c>
      <c r="S844" s="17" t="s">
        <v>7</v>
      </c>
      <c r="T844" s="17">
        <v>0.01</v>
      </c>
      <c r="U844" s="17">
        <v>50</v>
      </c>
    </row>
    <row r="845" spans="5:21" x14ac:dyDescent="0.25">
      <c r="E845" s="10">
        <v>43949</v>
      </c>
      <c r="F845" s="11">
        <v>0.83472222222222225</v>
      </c>
      <c r="G845" t="s">
        <v>33</v>
      </c>
      <c r="H845">
        <v>5.2</v>
      </c>
      <c r="I845">
        <v>550</v>
      </c>
      <c r="K845" s="14">
        <v>43933</v>
      </c>
      <c r="L845" s="15">
        <v>0.93819444444444444</v>
      </c>
      <c r="M845" s="13" t="s">
        <v>9</v>
      </c>
      <c r="N845" s="13">
        <v>0.13</v>
      </c>
      <c r="O845" s="13">
        <v>50</v>
      </c>
      <c r="Q845" s="18">
        <v>43933</v>
      </c>
      <c r="R845" s="19">
        <v>0.82291666666666663</v>
      </c>
      <c r="S845" s="17" t="s">
        <v>9</v>
      </c>
      <c r="T845" s="17">
        <v>8.8800000000000008</v>
      </c>
      <c r="U845" s="17">
        <v>860</v>
      </c>
    </row>
    <row r="846" spans="5:21" x14ac:dyDescent="0.25">
      <c r="E846" s="10">
        <v>43949</v>
      </c>
      <c r="F846" s="11">
        <v>0.88888888888888884</v>
      </c>
      <c r="G846" t="s">
        <v>33</v>
      </c>
      <c r="H846">
        <v>3.43</v>
      </c>
      <c r="I846">
        <v>350</v>
      </c>
      <c r="K846" s="14">
        <v>43934</v>
      </c>
      <c r="L846" s="15">
        <v>6.805555555555555E-2</v>
      </c>
      <c r="M846" s="13" t="s">
        <v>9</v>
      </c>
      <c r="N846" s="13">
        <v>6.4</v>
      </c>
      <c r="O846" s="13">
        <v>350</v>
      </c>
      <c r="Q846" s="18">
        <v>44070</v>
      </c>
      <c r="R846" s="19">
        <v>0.87986111111111109</v>
      </c>
      <c r="S846" s="17" t="s">
        <v>29</v>
      </c>
      <c r="T846" s="17">
        <v>14.02</v>
      </c>
      <c r="U846" s="17">
        <v>100</v>
      </c>
    </row>
    <row r="847" spans="5:21" x14ac:dyDescent="0.25">
      <c r="E847" s="10">
        <v>43949</v>
      </c>
      <c r="F847" s="11">
        <v>0.87847222222222221</v>
      </c>
      <c r="G847" t="s">
        <v>33</v>
      </c>
      <c r="H847">
        <v>3.23</v>
      </c>
      <c r="I847">
        <v>100</v>
      </c>
      <c r="K847" s="14">
        <v>43934</v>
      </c>
      <c r="L847" s="15">
        <v>5.5555555555555558E-3</v>
      </c>
      <c r="M847" s="13" t="s">
        <v>9</v>
      </c>
      <c r="N847" s="13">
        <v>2.94</v>
      </c>
      <c r="O847" s="13">
        <v>100</v>
      </c>
      <c r="Q847" s="18">
        <v>44044</v>
      </c>
      <c r="R847" s="19">
        <v>0.65416666666666667</v>
      </c>
      <c r="S847" s="17" t="s">
        <v>6</v>
      </c>
      <c r="T847" s="17">
        <v>0.01</v>
      </c>
      <c r="U847" s="17">
        <v>20</v>
      </c>
    </row>
    <row r="848" spans="5:21" x14ac:dyDescent="0.25">
      <c r="E848" s="10">
        <v>43955</v>
      </c>
      <c r="F848" s="11">
        <v>0.70138888888888884</v>
      </c>
      <c r="G848" t="s">
        <v>33</v>
      </c>
      <c r="H848">
        <v>2</v>
      </c>
      <c r="I848">
        <v>50</v>
      </c>
      <c r="K848" s="14">
        <v>43934</v>
      </c>
      <c r="L848" s="15">
        <v>0.16527777777777777</v>
      </c>
      <c r="M848" s="13" t="s">
        <v>9</v>
      </c>
      <c r="N848" s="13">
        <v>4.99</v>
      </c>
      <c r="O848" s="13">
        <v>200</v>
      </c>
      <c r="Q848" s="18">
        <v>43867</v>
      </c>
      <c r="R848" s="19">
        <v>0.18611111111111112</v>
      </c>
      <c r="S848" s="17" t="s">
        <v>9</v>
      </c>
      <c r="T848" s="17">
        <v>2.2400000000000002</v>
      </c>
      <c r="U848" s="17">
        <v>200</v>
      </c>
    </row>
    <row r="849" spans="5:21" x14ac:dyDescent="0.25">
      <c r="E849" s="10">
        <v>43966</v>
      </c>
      <c r="F849" s="11">
        <v>0.35972222222222222</v>
      </c>
      <c r="G849" t="s">
        <v>33</v>
      </c>
      <c r="H849">
        <v>4.8</v>
      </c>
      <c r="I849">
        <v>525</v>
      </c>
      <c r="K849" s="14">
        <v>43934</v>
      </c>
      <c r="L849" s="15">
        <v>0.24097222222222223</v>
      </c>
      <c r="M849" s="13" t="s">
        <v>9</v>
      </c>
      <c r="N849" s="13">
        <v>0.36</v>
      </c>
      <c r="O849" s="13">
        <v>100</v>
      </c>
      <c r="Q849" s="18">
        <v>44145</v>
      </c>
      <c r="R849" s="19">
        <v>0.58472222222222225</v>
      </c>
      <c r="S849" s="17" t="s">
        <v>15</v>
      </c>
      <c r="T849" s="17">
        <v>0.54</v>
      </c>
      <c r="U849" s="17">
        <v>30</v>
      </c>
    </row>
    <row r="850" spans="5:21" x14ac:dyDescent="0.25">
      <c r="E850" s="10">
        <v>43966</v>
      </c>
      <c r="F850" s="11">
        <v>0.77222222222222225</v>
      </c>
      <c r="G850" t="s">
        <v>33</v>
      </c>
      <c r="H850">
        <v>0.3</v>
      </c>
      <c r="I850">
        <v>50</v>
      </c>
      <c r="K850" s="14">
        <v>43934</v>
      </c>
      <c r="L850" s="15">
        <v>0.25763888888888892</v>
      </c>
      <c r="M850" s="13" t="s">
        <v>9</v>
      </c>
      <c r="N850" s="13">
        <v>8.89</v>
      </c>
      <c r="O850" s="13">
        <v>250</v>
      </c>
      <c r="Q850" s="18">
        <v>44010</v>
      </c>
      <c r="R850" s="19">
        <v>0.81041666666666667</v>
      </c>
      <c r="S850" s="17" t="s">
        <v>31</v>
      </c>
      <c r="T850" s="17">
        <v>1.26</v>
      </c>
      <c r="U850" s="17">
        <v>100</v>
      </c>
    </row>
    <row r="851" spans="5:21" x14ac:dyDescent="0.25">
      <c r="E851" s="10">
        <v>43967</v>
      </c>
      <c r="F851" s="11">
        <v>0.56666666666666665</v>
      </c>
      <c r="G851" t="s">
        <v>33</v>
      </c>
      <c r="H851">
        <v>1.25</v>
      </c>
      <c r="I851">
        <v>20</v>
      </c>
      <c r="K851" s="14">
        <v>43934</v>
      </c>
      <c r="L851" s="15">
        <v>0.19375000000000001</v>
      </c>
      <c r="M851" s="13" t="s">
        <v>9</v>
      </c>
      <c r="N851" s="13">
        <v>1.18</v>
      </c>
      <c r="O851" s="13">
        <v>125</v>
      </c>
      <c r="Q851" s="18">
        <v>43843</v>
      </c>
      <c r="R851" s="19">
        <v>0.97222222222222221</v>
      </c>
      <c r="S851" s="17" t="s">
        <v>9</v>
      </c>
      <c r="T851" s="17">
        <v>0.28000000000000003</v>
      </c>
      <c r="U851" s="17">
        <v>50</v>
      </c>
    </row>
    <row r="852" spans="5:21" x14ac:dyDescent="0.25">
      <c r="E852" s="10">
        <v>43967</v>
      </c>
      <c r="F852" s="11">
        <v>0.68055555555555547</v>
      </c>
      <c r="G852" t="s">
        <v>33</v>
      </c>
      <c r="H852">
        <v>0.13</v>
      </c>
      <c r="I852">
        <v>20</v>
      </c>
      <c r="K852" s="14">
        <v>43934</v>
      </c>
      <c r="L852" s="15">
        <v>8.6805555555555566E-2</v>
      </c>
      <c r="M852" s="13" t="s">
        <v>9</v>
      </c>
      <c r="N852" s="13">
        <v>3.08</v>
      </c>
      <c r="O852" s="13">
        <v>100</v>
      </c>
      <c r="Q852" s="18">
        <v>43968</v>
      </c>
      <c r="R852" s="19">
        <v>0.81319444444444444</v>
      </c>
      <c r="S852" s="17" t="s">
        <v>26</v>
      </c>
      <c r="T852" s="17">
        <v>3.93</v>
      </c>
      <c r="U852" s="17">
        <v>100</v>
      </c>
    </row>
    <row r="853" spans="5:21" x14ac:dyDescent="0.25">
      <c r="E853" s="10">
        <v>43973</v>
      </c>
      <c r="F853" s="11">
        <v>0.87847222222222221</v>
      </c>
      <c r="G853" t="s">
        <v>33</v>
      </c>
      <c r="H853">
        <v>3</v>
      </c>
      <c r="I853">
        <v>225</v>
      </c>
      <c r="K853" s="14">
        <v>43934</v>
      </c>
      <c r="L853" s="15">
        <v>4.2361111111111106E-2</v>
      </c>
      <c r="M853" s="13" t="s">
        <v>9</v>
      </c>
      <c r="N853" s="13">
        <v>4.54</v>
      </c>
      <c r="O853" s="13">
        <v>200</v>
      </c>
      <c r="Q853" s="18">
        <v>44020</v>
      </c>
      <c r="R853" s="19">
        <v>0.76041666666666663</v>
      </c>
      <c r="S853" s="17" t="s">
        <v>8</v>
      </c>
      <c r="T853" s="17">
        <v>7.39</v>
      </c>
      <c r="U853" s="17">
        <v>50</v>
      </c>
    </row>
    <row r="854" spans="5:21" x14ac:dyDescent="0.25">
      <c r="E854" s="10">
        <v>43973</v>
      </c>
      <c r="F854" s="11">
        <v>0.88541666666666663</v>
      </c>
      <c r="G854" t="s">
        <v>33</v>
      </c>
      <c r="H854">
        <v>2.7</v>
      </c>
      <c r="I854">
        <v>200</v>
      </c>
      <c r="K854" s="14">
        <v>43934</v>
      </c>
      <c r="L854" s="15">
        <v>2.7777777777777776E-2</v>
      </c>
      <c r="M854" s="13" t="s">
        <v>9</v>
      </c>
      <c r="N854" s="13">
        <v>5.3</v>
      </c>
      <c r="O854" s="13">
        <v>300</v>
      </c>
      <c r="Q854" s="18">
        <v>44032</v>
      </c>
      <c r="R854" s="19">
        <v>0.59027777777777779</v>
      </c>
      <c r="S854" s="17" t="s">
        <v>31</v>
      </c>
      <c r="T854" s="17">
        <v>0.23</v>
      </c>
      <c r="U854" s="17">
        <v>25</v>
      </c>
    </row>
    <row r="855" spans="5:21" x14ac:dyDescent="0.25">
      <c r="E855" s="10">
        <v>43973</v>
      </c>
      <c r="F855" s="11">
        <v>0.82986111111111116</v>
      </c>
      <c r="G855" t="s">
        <v>33</v>
      </c>
      <c r="H855">
        <v>1.7</v>
      </c>
      <c r="I855">
        <v>75</v>
      </c>
      <c r="K855" s="14">
        <v>43934</v>
      </c>
      <c r="L855" s="15">
        <v>0.15</v>
      </c>
      <c r="M855" s="13" t="s">
        <v>9</v>
      </c>
      <c r="N855" s="13">
        <v>3.62</v>
      </c>
      <c r="O855" s="13">
        <v>100</v>
      </c>
      <c r="Q855" s="18">
        <v>43929</v>
      </c>
      <c r="R855" s="19">
        <v>0.86805555555555547</v>
      </c>
      <c r="S855" s="17" t="s">
        <v>27</v>
      </c>
      <c r="T855" s="17">
        <v>8.8000000000000007</v>
      </c>
      <c r="U855" s="17">
        <v>200</v>
      </c>
    </row>
    <row r="856" spans="5:21" x14ac:dyDescent="0.25">
      <c r="E856" s="10">
        <v>43973</v>
      </c>
      <c r="F856" s="11">
        <v>0.87361111111111101</v>
      </c>
      <c r="G856" t="s">
        <v>33</v>
      </c>
      <c r="H856">
        <v>0.9</v>
      </c>
      <c r="I856">
        <v>100</v>
      </c>
      <c r="K856" s="14">
        <v>43934</v>
      </c>
      <c r="L856" s="15">
        <v>1.3194444444444444E-2</v>
      </c>
      <c r="M856" s="13" t="s">
        <v>9</v>
      </c>
      <c r="N856" s="13">
        <v>16.63</v>
      </c>
      <c r="O856" s="13">
        <v>1200</v>
      </c>
      <c r="Q856" s="18">
        <v>43918</v>
      </c>
      <c r="R856" s="19">
        <v>0.79236111111111107</v>
      </c>
      <c r="S856" s="17" t="s">
        <v>15</v>
      </c>
      <c r="T856" s="17">
        <v>2.06</v>
      </c>
      <c r="U856" s="17">
        <v>100</v>
      </c>
    </row>
    <row r="857" spans="5:21" x14ac:dyDescent="0.25">
      <c r="E857" s="10">
        <v>43973</v>
      </c>
      <c r="F857" s="11">
        <v>0.85555555555555562</v>
      </c>
      <c r="G857" t="s">
        <v>33</v>
      </c>
      <c r="H857">
        <v>0.3</v>
      </c>
      <c r="I857">
        <v>50</v>
      </c>
      <c r="K857" s="14">
        <v>43934</v>
      </c>
      <c r="L857" s="15">
        <v>4.1666666666666664E-2</v>
      </c>
      <c r="M857" s="13" t="s">
        <v>9</v>
      </c>
      <c r="N857" s="13">
        <v>3.68</v>
      </c>
      <c r="O857" s="13">
        <v>300</v>
      </c>
      <c r="Q857" s="18">
        <v>43841</v>
      </c>
      <c r="R857" s="19">
        <v>0.28125</v>
      </c>
      <c r="S857" s="17" t="s">
        <v>24</v>
      </c>
      <c r="T857" s="17">
        <v>7.23</v>
      </c>
      <c r="U857" s="17">
        <v>100</v>
      </c>
    </row>
    <row r="858" spans="5:21" x14ac:dyDescent="0.25">
      <c r="E858" s="10">
        <v>43976</v>
      </c>
      <c r="F858" s="11">
        <v>0.80069444444444438</v>
      </c>
      <c r="G858" t="s">
        <v>33</v>
      </c>
      <c r="H858">
        <v>2.2000000000000002</v>
      </c>
      <c r="I858">
        <v>300</v>
      </c>
      <c r="K858" s="14">
        <v>43934</v>
      </c>
      <c r="L858" s="15">
        <v>2.4999999999999998E-2</v>
      </c>
      <c r="M858" s="13" t="s">
        <v>9</v>
      </c>
      <c r="N858" s="13">
        <v>2.75</v>
      </c>
      <c r="O858" s="13">
        <v>50</v>
      </c>
      <c r="Q858" s="18">
        <v>43841</v>
      </c>
      <c r="R858" s="19">
        <v>0.70486111111111116</v>
      </c>
      <c r="S858" s="17" t="s">
        <v>21</v>
      </c>
      <c r="T858" s="17">
        <v>3.3</v>
      </c>
      <c r="U858" s="17">
        <v>30</v>
      </c>
    </row>
    <row r="859" spans="5:21" x14ac:dyDescent="0.25">
      <c r="E859" s="10">
        <v>43976</v>
      </c>
      <c r="F859" s="11">
        <v>0.75763888888888886</v>
      </c>
      <c r="G859" t="s">
        <v>33</v>
      </c>
      <c r="H859">
        <v>0.6</v>
      </c>
      <c r="I859">
        <v>120</v>
      </c>
      <c r="K859" s="14">
        <v>43934</v>
      </c>
      <c r="L859" s="15">
        <v>4.6527777777777779E-2</v>
      </c>
      <c r="M859" s="13" t="s">
        <v>9</v>
      </c>
      <c r="N859" s="13">
        <v>8.73</v>
      </c>
      <c r="O859" s="13">
        <v>500</v>
      </c>
      <c r="Q859" s="18">
        <v>44057</v>
      </c>
      <c r="R859" s="19">
        <v>0.66180555555555554</v>
      </c>
      <c r="S859" s="17" t="s">
        <v>8</v>
      </c>
      <c r="T859" s="17">
        <v>5.91</v>
      </c>
      <c r="U859" s="17">
        <v>200</v>
      </c>
    </row>
    <row r="860" spans="5:21" x14ac:dyDescent="0.25">
      <c r="E860" s="10">
        <v>43976</v>
      </c>
      <c r="F860" s="11">
        <v>0.69236111111111109</v>
      </c>
      <c r="G860" t="s">
        <v>33</v>
      </c>
      <c r="H860">
        <v>0.5</v>
      </c>
      <c r="I860">
        <v>100</v>
      </c>
      <c r="K860" s="14">
        <v>43934</v>
      </c>
      <c r="L860" s="15">
        <v>0.23402777777777781</v>
      </c>
      <c r="M860" s="13" t="s">
        <v>9</v>
      </c>
      <c r="N860" s="13">
        <v>3.2</v>
      </c>
      <c r="O860" s="13">
        <v>500</v>
      </c>
      <c r="Q860" s="18">
        <v>43967</v>
      </c>
      <c r="R860" s="19">
        <v>0.68055555555555547</v>
      </c>
      <c r="S860" s="17" t="s">
        <v>33</v>
      </c>
      <c r="T860" s="17">
        <v>0.13</v>
      </c>
      <c r="U860" s="17">
        <v>20</v>
      </c>
    </row>
    <row r="861" spans="5:21" x14ac:dyDescent="0.25">
      <c r="E861" s="10">
        <v>43976</v>
      </c>
      <c r="F861" s="11">
        <v>0.78125</v>
      </c>
      <c r="G861" t="s">
        <v>33</v>
      </c>
      <c r="H861">
        <v>0.3</v>
      </c>
      <c r="I861">
        <v>75</v>
      </c>
      <c r="K861" s="14">
        <v>43934</v>
      </c>
      <c r="L861" s="15">
        <v>5.4166666666666669E-2</v>
      </c>
      <c r="M861" s="13" t="s">
        <v>9</v>
      </c>
      <c r="N861" s="13">
        <v>12.91</v>
      </c>
      <c r="O861" s="13">
        <v>300</v>
      </c>
      <c r="Q861" s="18">
        <v>44070</v>
      </c>
      <c r="R861" s="19">
        <v>0.82986111111111116</v>
      </c>
      <c r="S861" s="17" t="s">
        <v>29</v>
      </c>
      <c r="T861" s="17">
        <v>0.89</v>
      </c>
      <c r="U861" s="17">
        <v>60</v>
      </c>
    </row>
    <row r="862" spans="5:21" x14ac:dyDescent="0.25">
      <c r="E862" s="10">
        <v>43976</v>
      </c>
      <c r="F862" s="11">
        <v>0.77361111111111114</v>
      </c>
      <c r="G862" t="s">
        <v>33</v>
      </c>
      <c r="H862">
        <v>0.1</v>
      </c>
      <c r="I862">
        <v>50</v>
      </c>
      <c r="K862" s="14">
        <v>43934</v>
      </c>
      <c r="L862" s="15">
        <v>0.22569444444444445</v>
      </c>
      <c r="M862" s="13" t="s">
        <v>9</v>
      </c>
      <c r="N862" s="13">
        <v>4.75</v>
      </c>
      <c r="O862" s="13">
        <v>440</v>
      </c>
      <c r="Q862" s="18">
        <v>44188</v>
      </c>
      <c r="R862" s="19">
        <v>0.97499999999999998</v>
      </c>
      <c r="S862" s="17" t="s">
        <v>24</v>
      </c>
      <c r="T862" s="17">
        <v>5.0599999999999996</v>
      </c>
      <c r="U862" s="17">
        <v>250</v>
      </c>
    </row>
    <row r="863" spans="5:21" x14ac:dyDescent="0.25">
      <c r="E863" s="10">
        <v>43979</v>
      </c>
      <c r="F863" s="11">
        <v>0.74722222222222223</v>
      </c>
      <c r="G863" t="s">
        <v>33</v>
      </c>
      <c r="H863">
        <v>0.1</v>
      </c>
      <c r="I863">
        <v>50</v>
      </c>
      <c r="K863" s="14">
        <v>43934</v>
      </c>
      <c r="L863" s="15">
        <v>0.1673611111111111</v>
      </c>
      <c r="M863" s="13" t="s">
        <v>9</v>
      </c>
      <c r="N863" s="13">
        <v>1.92</v>
      </c>
      <c r="O863" s="13">
        <v>50</v>
      </c>
      <c r="Q863" s="18">
        <v>43956</v>
      </c>
      <c r="R863" s="19">
        <v>0.69861111111111107</v>
      </c>
      <c r="S863" s="17" t="s">
        <v>10</v>
      </c>
      <c r="T863" s="17">
        <v>13.98</v>
      </c>
      <c r="U863" s="17">
        <v>200</v>
      </c>
    </row>
    <row r="864" spans="5:21" x14ac:dyDescent="0.25">
      <c r="E864" s="10">
        <v>44023</v>
      </c>
      <c r="F864" s="11">
        <v>0.96111111111111114</v>
      </c>
      <c r="G864" t="s">
        <v>33</v>
      </c>
      <c r="H864">
        <v>0.2</v>
      </c>
      <c r="I864">
        <v>10</v>
      </c>
      <c r="K864" s="14">
        <v>43934</v>
      </c>
      <c r="L864" s="15">
        <v>9.1666666666666674E-2</v>
      </c>
      <c r="M864" s="13" t="s">
        <v>9</v>
      </c>
      <c r="N864" s="13">
        <v>1.01</v>
      </c>
      <c r="O864" s="13">
        <v>100</v>
      </c>
      <c r="Q864" s="18">
        <v>43841</v>
      </c>
      <c r="R864" s="19">
        <v>3.6111111111111115E-2</v>
      </c>
      <c r="S864" s="17" t="s">
        <v>17</v>
      </c>
      <c r="T864" s="17">
        <v>0.2</v>
      </c>
      <c r="U864" s="17">
        <v>45</v>
      </c>
    </row>
    <row r="865" spans="5:21" x14ac:dyDescent="0.25">
      <c r="E865" s="10">
        <v>44159</v>
      </c>
      <c r="F865" s="11">
        <v>0.90972222222222221</v>
      </c>
      <c r="G865" t="s">
        <v>33</v>
      </c>
      <c r="H865">
        <v>4</v>
      </c>
      <c r="I865">
        <v>250</v>
      </c>
      <c r="K865" s="14">
        <v>43934</v>
      </c>
      <c r="L865" s="15">
        <v>0.16527777777777777</v>
      </c>
      <c r="M865" s="13" t="s">
        <v>9</v>
      </c>
      <c r="N865" s="13">
        <v>5.9</v>
      </c>
      <c r="O865" s="13">
        <v>200</v>
      </c>
      <c r="Q865" s="18">
        <v>43933</v>
      </c>
      <c r="R865" s="19">
        <v>0.36944444444444446</v>
      </c>
      <c r="S865" s="17" t="s">
        <v>26</v>
      </c>
      <c r="T865" s="17">
        <v>0.43</v>
      </c>
      <c r="U865" s="17">
        <v>125</v>
      </c>
    </row>
    <row r="866" spans="5:21" x14ac:dyDescent="0.25">
      <c r="E866" s="10">
        <v>44159</v>
      </c>
      <c r="F866" s="11">
        <v>0.87083333333333324</v>
      </c>
      <c r="G866" t="s">
        <v>33</v>
      </c>
      <c r="H866">
        <v>3</v>
      </c>
      <c r="I866">
        <v>200</v>
      </c>
      <c r="K866" s="14">
        <v>43934</v>
      </c>
      <c r="L866" s="15">
        <v>3.4027777777777775E-2</v>
      </c>
      <c r="M866" s="13" t="s">
        <v>9</v>
      </c>
      <c r="N866" s="13">
        <v>9.77</v>
      </c>
      <c r="O866" s="13">
        <v>200</v>
      </c>
      <c r="Q866" s="18">
        <v>43908</v>
      </c>
      <c r="R866" s="19">
        <v>0.88958333333333339</v>
      </c>
      <c r="S866" s="17" t="s">
        <v>6</v>
      </c>
      <c r="T866" s="17">
        <v>0.67</v>
      </c>
      <c r="U866" s="17">
        <v>46</v>
      </c>
    </row>
    <row r="867" spans="5:21" x14ac:dyDescent="0.25">
      <c r="E867" s="10">
        <v>43995</v>
      </c>
      <c r="F867" s="11">
        <v>0.81111111111111101</v>
      </c>
      <c r="G867" t="s">
        <v>47</v>
      </c>
      <c r="H867">
        <v>2</v>
      </c>
      <c r="I867">
        <v>200</v>
      </c>
      <c r="K867" s="14">
        <v>43934</v>
      </c>
      <c r="L867" s="15">
        <v>0.12013888888888889</v>
      </c>
      <c r="M867" s="13" t="s">
        <v>9</v>
      </c>
      <c r="N867" s="13">
        <v>16.489999999999998</v>
      </c>
      <c r="O867" s="13">
        <v>700</v>
      </c>
      <c r="Q867" s="18">
        <v>43964</v>
      </c>
      <c r="R867" s="19">
        <v>0.64583333333333337</v>
      </c>
      <c r="S867" s="17" t="s">
        <v>6</v>
      </c>
      <c r="T867" s="17">
        <v>0.82</v>
      </c>
      <c r="U867" s="17">
        <v>50</v>
      </c>
    </row>
    <row r="868" spans="5:21" x14ac:dyDescent="0.25">
      <c r="E868" s="10">
        <v>44145</v>
      </c>
      <c r="F868" s="11">
        <v>0.59722222222222221</v>
      </c>
      <c r="G868" t="s">
        <v>47</v>
      </c>
      <c r="H868">
        <v>1.7</v>
      </c>
      <c r="I868">
        <v>200</v>
      </c>
      <c r="K868" s="14">
        <v>43934</v>
      </c>
      <c r="L868" s="15">
        <v>8.4027777777777771E-2</v>
      </c>
      <c r="M868" s="13" t="s">
        <v>9</v>
      </c>
      <c r="N868" s="13">
        <v>1.66</v>
      </c>
      <c r="O868" s="13">
        <v>50</v>
      </c>
      <c r="Q868" s="18">
        <v>43967</v>
      </c>
      <c r="R868" s="19">
        <v>0.7055555555555556</v>
      </c>
      <c r="S868" s="17" t="s">
        <v>29</v>
      </c>
      <c r="T868" s="17">
        <v>1.89</v>
      </c>
      <c r="U868" s="17">
        <v>40</v>
      </c>
    </row>
    <row r="869" spans="5:21" x14ac:dyDescent="0.25">
      <c r="E869" s="10">
        <v>43928</v>
      </c>
      <c r="F869" s="11">
        <v>0.96597222222222223</v>
      </c>
      <c r="G869" t="s">
        <v>34</v>
      </c>
      <c r="H869">
        <v>3.83</v>
      </c>
      <c r="I869">
        <v>250</v>
      </c>
      <c r="K869" s="14">
        <v>43934</v>
      </c>
      <c r="L869" s="15">
        <v>9.5833333333333326E-2</v>
      </c>
      <c r="M869" s="13" t="s">
        <v>9</v>
      </c>
      <c r="N869" s="13">
        <v>14.22</v>
      </c>
      <c r="O869" s="13">
        <v>220</v>
      </c>
      <c r="Q869" s="18">
        <v>44070</v>
      </c>
      <c r="R869" s="19">
        <v>0.67708333333333337</v>
      </c>
      <c r="S869" s="17" t="s">
        <v>36</v>
      </c>
      <c r="T869" s="17">
        <v>2.6</v>
      </c>
      <c r="U869" s="17">
        <v>600</v>
      </c>
    </row>
    <row r="870" spans="5:21" x14ac:dyDescent="0.25">
      <c r="E870" s="10">
        <v>43928</v>
      </c>
      <c r="F870" s="11">
        <v>0.94444444444444453</v>
      </c>
      <c r="G870" t="s">
        <v>34</v>
      </c>
      <c r="H870">
        <v>0.86</v>
      </c>
      <c r="I870">
        <v>100</v>
      </c>
      <c r="K870" s="14">
        <v>43941</v>
      </c>
      <c r="L870" s="15">
        <v>6.9444444444444441E-3</v>
      </c>
      <c r="M870" s="13" t="s">
        <v>9</v>
      </c>
      <c r="N870" s="13">
        <v>8.7200000000000006</v>
      </c>
      <c r="O870" s="13">
        <v>500</v>
      </c>
      <c r="Q870" s="18">
        <v>44033</v>
      </c>
      <c r="R870" s="19">
        <v>0.68194444444444446</v>
      </c>
      <c r="S870" s="17" t="s">
        <v>32</v>
      </c>
      <c r="T870" s="17">
        <v>0.19</v>
      </c>
      <c r="U870" s="17">
        <v>25</v>
      </c>
    </row>
    <row r="871" spans="5:21" x14ac:dyDescent="0.25">
      <c r="E871" s="10">
        <v>43928</v>
      </c>
      <c r="F871" s="11">
        <v>0.97013888888888899</v>
      </c>
      <c r="G871" t="s">
        <v>34</v>
      </c>
      <c r="H871">
        <v>0.15</v>
      </c>
      <c r="I871">
        <v>75</v>
      </c>
      <c r="K871" s="14">
        <v>43944</v>
      </c>
      <c r="L871" s="15">
        <v>0.44027777777777777</v>
      </c>
      <c r="M871" s="13" t="s">
        <v>9</v>
      </c>
      <c r="N871" s="13">
        <v>37.24</v>
      </c>
      <c r="O871" s="13">
        <v>650</v>
      </c>
      <c r="Q871" s="18">
        <v>43866</v>
      </c>
      <c r="R871" s="19">
        <v>0.74305555555555547</v>
      </c>
      <c r="S871" s="17" t="s">
        <v>24</v>
      </c>
      <c r="T871" s="17">
        <v>4.91</v>
      </c>
      <c r="U871" s="17">
        <v>150</v>
      </c>
    </row>
    <row r="872" spans="5:21" x14ac:dyDescent="0.25">
      <c r="E872" s="10">
        <v>43992</v>
      </c>
      <c r="F872" s="11">
        <v>0.81319444444444444</v>
      </c>
      <c r="G872" t="s">
        <v>34</v>
      </c>
      <c r="H872">
        <v>9.6</v>
      </c>
      <c r="I872">
        <v>790</v>
      </c>
      <c r="K872" s="14">
        <v>43944</v>
      </c>
      <c r="L872" s="15">
        <v>0.4777777777777778</v>
      </c>
      <c r="M872" s="13" t="s">
        <v>9</v>
      </c>
      <c r="N872" s="13">
        <v>2.2400000000000002</v>
      </c>
      <c r="O872" s="13">
        <v>50</v>
      </c>
      <c r="Q872" s="18">
        <v>43933</v>
      </c>
      <c r="R872" s="19">
        <v>0.44375000000000003</v>
      </c>
      <c r="S872" s="17" t="s">
        <v>26</v>
      </c>
      <c r="T872" s="17">
        <v>2.6</v>
      </c>
      <c r="U872" s="17">
        <v>400</v>
      </c>
    </row>
    <row r="873" spans="5:21" x14ac:dyDescent="0.25">
      <c r="E873" s="10">
        <v>44047</v>
      </c>
      <c r="F873" s="11">
        <v>0.36805555555555558</v>
      </c>
      <c r="G873" t="s">
        <v>34</v>
      </c>
      <c r="H873">
        <v>20.77</v>
      </c>
      <c r="I873">
        <v>500</v>
      </c>
      <c r="K873" s="14">
        <v>43944</v>
      </c>
      <c r="L873" s="15">
        <v>0.4201388888888889</v>
      </c>
      <c r="M873" s="13" t="s">
        <v>9</v>
      </c>
      <c r="N873" s="13">
        <v>2.4</v>
      </c>
      <c r="O873" s="13">
        <v>176</v>
      </c>
      <c r="Q873" s="18">
        <v>44027</v>
      </c>
      <c r="R873" s="19">
        <v>0.66527777777777775</v>
      </c>
      <c r="S873" s="17" t="s">
        <v>15</v>
      </c>
      <c r="T873" s="17">
        <v>3.21</v>
      </c>
      <c r="U873" s="17">
        <v>75</v>
      </c>
    </row>
    <row r="874" spans="5:21" x14ac:dyDescent="0.25">
      <c r="E874" s="10">
        <v>44047</v>
      </c>
      <c r="F874" s="11">
        <v>0.36388888888888887</v>
      </c>
      <c r="G874" t="s">
        <v>34</v>
      </c>
      <c r="H874">
        <v>3.14</v>
      </c>
      <c r="I874">
        <v>200</v>
      </c>
      <c r="K874" s="14">
        <v>43944</v>
      </c>
      <c r="L874" s="15">
        <v>0.56736111111111109</v>
      </c>
      <c r="M874" s="13" t="s">
        <v>9</v>
      </c>
      <c r="N874" s="13">
        <v>0.3</v>
      </c>
      <c r="O874" s="13">
        <v>50</v>
      </c>
      <c r="Q874" s="18">
        <v>44115</v>
      </c>
      <c r="R874" s="19">
        <v>0.55555555555555558</v>
      </c>
      <c r="S874" s="17" t="s">
        <v>10</v>
      </c>
      <c r="T874" s="17">
        <v>0.5</v>
      </c>
      <c r="U874" s="17">
        <v>40</v>
      </c>
    </row>
    <row r="875" spans="5:21" x14ac:dyDescent="0.25">
      <c r="E875" s="10">
        <v>44165</v>
      </c>
      <c r="F875" s="11">
        <v>0.61944444444444446</v>
      </c>
      <c r="G875" t="s">
        <v>34</v>
      </c>
      <c r="H875">
        <v>0.87</v>
      </c>
      <c r="I875">
        <v>100</v>
      </c>
      <c r="K875" s="14">
        <v>43944</v>
      </c>
      <c r="L875" s="15">
        <v>0.54097222222222219</v>
      </c>
      <c r="M875" s="13" t="s">
        <v>9</v>
      </c>
      <c r="N875" s="13">
        <v>0.47</v>
      </c>
      <c r="O875" s="13">
        <v>50</v>
      </c>
      <c r="Q875" s="18">
        <v>43928</v>
      </c>
      <c r="R875" s="19">
        <v>0.94236111111111109</v>
      </c>
      <c r="S875" s="17" t="s">
        <v>27</v>
      </c>
      <c r="T875" s="17">
        <v>3.82</v>
      </c>
      <c r="U875" s="17">
        <v>100</v>
      </c>
    </row>
    <row r="876" spans="5:21" x14ac:dyDescent="0.25">
      <c r="E876" s="10">
        <v>43841</v>
      </c>
      <c r="F876" s="11">
        <v>0.81944444444444453</v>
      </c>
      <c r="G876" t="s">
        <v>10</v>
      </c>
      <c r="H876">
        <v>2.44</v>
      </c>
      <c r="I876">
        <v>50</v>
      </c>
      <c r="K876" s="14">
        <v>43944</v>
      </c>
      <c r="L876" s="15">
        <v>0.50347222222222221</v>
      </c>
      <c r="M876" s="13" t="s">
        <v>9</v>
      </c>
      <c r="N876" s="13">
        <v>8.9700000000000006</v>
      </c>
      <c r="O876" s="13">
        <v>50</v>
      </c>
      <c r="Q876" s="18">
        <v>43943</v>
      </c>
      <c r="R876" s="19">
        <v>0.85138888888888886</v>
      </c>
      <c r="S876" s="17" t="s">
        <v>26</v>
      </c>
      <c r="T876" s="17">
        <v>8.98</v>
      </c>
      <c r="U876" s="17">
        <v>550</v>
      </c>
    </row>
    <row r="877" spans="5:21" x14ac:dyDescent="0.25">
      <c r="E877" s="10">
        <v>43841</v>
      </c>
      <c r="F877" s="11">
        <v>0.81944444444444453</v>
      </c>
      <c r="G877" t="s">
        <v>10</v>
      </c>
      <c r="H877">
        <v>0.66</v>
      </c>
      <c r="I877">
        <v>160</v>
      </c>
      <c r="K877" s="14">
        <v>43981</v>
      </c>
      <c r="L877" s="15">
        <v>0.47916666666666669</v>
      </c>
      <c r="M877" s="13" t="s">
        <v>9</v>
      </c>
      <c r="N877" s="13">
        <v>0.05</v>
      </c>
      <c r="O877" s="13">
        <v>30</v>
      </c>
      <c r="Q877" s="18">
        <v>44091</v>
      </c>
      <c r="R877" s="19">
        <v>0.81111111111111101</v>
      </c>
      <c r="S877" s="17" t="s">
        <v>14</v>
      </c>
      <c r="T877" s="17">
        <v>0.15</v>
      </c>
      <c r="U877" s="17">
        <v>20</v>
      </c>
    </row>
    <row r="878" spans="5:21" x14ac:dyDescent="0.25">
      <c r="E878" s="10">
        <v>43841</v>
      </c>
      <c r="F878" s="11">
        <v>0.8979166666666667</v>
      </c>
      <c r="G878" t="s">
        <v>10</v>
      </c>
      <c r="H878">
        <v>0.55000000000000004</v>
      </c>
      <c r="I878">
        <v>150</v>
      </c>
      <c r="K878" s="14">
        <v>44090</v>
      </c>
      <c r="L878" s="15">
        <v>0.61527777777777781</v>
      </c>
      <c r="M878" s="13" t="s">
        <v>9</v>
      </c>
      <c r="N878" s="13">
        <v>5.26</v>
      </c>
      <c r="O878" s="13">
        <v>50</v>
      </c>
      <c r="Q878" s="18">
        <v>43934</v>
      </c>
      <c r="R878" s="19">
        <v>0.33680555555555558</v>
      </c>
      <c r="S878" s="17" t="s">
        <v>14</v>
      </c>
      <c r="T878" s="17">
        <v>0.35</v>
      </c>
      <c r="U878" s="17">
        <v>25</v>
      </c>
    </row>
    <row r="879" spans="5:21" x14ac:dyDescent="0.25">
      <c r="E879" s="10">
        <v>43841</v>
      </c>
      <c r="F879" s="11">
        <v>0.82291666666666663</v>
      </c>
      <c r="G879" t="s">
        <v>10</v>
      </c>
      <c r="H879">
        <v>0.53</v>
      </c>
      <c r="I879">
        <v>30</v>
      </c>
      <c r="K879" s="14">
        <v>44090</v>
      </c>
      <c r="L879" s="15">
        <v>0.62916666666666665</v>
      </c>
      <c r="M879" s="13" t="s">
        <v>9</v>
      </c>
      <c r="N879" s="13">
        <v>2.2999999999999998</v>
      </c>
      <c r="O879" s="13">
        <v>50</v>
      </c>
      <c r="Q879" s="18">
        <v>44091</v>
      </c>
      <c r="R879" s="19">
        <v>0.30069444444444443</v>
      </c>
      <c r="S879" s="17" t="s">
        <v>10</v>
      </c>
      <c r="T879" s="17">
        <v>0.6</v>
      </c>
      <c r="U879" s="17">
        <v>150</v>
      </c>
    </row>
    <row r="880" spans="5:21" x14ac:dyDescent="0.25">
      <c r="E880" s="10">
        <v>43841</v>
      </c>
      <c r="F880" s="11">
        <v>0.7944444444444444</v>
      </c>
      <c r="G880" t="s">
        <v>10</v>
      </c>
      <c r="H880">
        <v>0.44</v>
      </c>
      <c r="I880">
        <v>30</v>
      </c>
      <c r="K880" s="14">
        <v>44090</v>
      </c>
      <c r="L880" s="15">
        <v>0.73125000000000007</v>
      </c>
      <c r="M880" s="13" t="s">
        <v>9</v>
      </c>
      <c r="N880" s="13">
        <v>0.16</v>
      </c>
      <c r="O880" s="13">
        <v>200</v>
      </c>
      <c r="Q880" s="18">
        <v>44033</v>
      </c>
      <c r="R880" s="19">
        <v>0.79999999999999993</v>
      </c>
      <c r="S880" s="17" t="s">
        <v>32</v>
      </c>
      <c r="T880" s="17">
        <v>3.45</v>
      </c>
      <c r="U880" s="17">
        <v>25</v>
      </c>
    </row>
    <row r="881" spans="5:21" x14ac:dyDescent="0.25">
      <c r="E881" s="10">
        <v>43841</v>
      </c>
      <c r="F881" s="11">
        <v>0.79583333333333339</v>
      </c>
      <c r="G881" t="s">
        <v>10</v>
      </c>
      <c r="H881">
        <v>0.27</v>
      </c>
      <c r="I881">
        <v>50</v>
      </c>
      <c r="K881" s="14">
        <v>44090</v>
      </c>
      <c r="L881" s="15">
        <v>0.60416666666666663</v>
      </c>
      <c r="M881" s="13" t="s">
        <v>9</v>
      </c>
      <c r="N881" s="13">
        <v>2.2200000000000002</v>
      </c>
      <c r="O881" s="13">
        <v>50</v>
      </c>
      <c r="Q881" s="18">
        <v>44091</v>
      </c>
      <c r="R881" s="19">
        <v>0.53125</v>
      </c>
      <c r="S881" s="17" t="s">
        <v>10</v>
      </c>
      <c r="T881" s="17">
        <v>4.99</v>
      </c>
      <c r="U881" s="17">
        <v>25</v>
      </c>
    </row>
    <row r="882" spans="5:21" x14ac:dyDescent="0.25">
      <c r="E882" s="10">
        <v>43843</v>
      </c>
      <c r="F882" s="11">
        <v>0.48958333333333331</v>
      </c>
      <c r="G882" t="s">
        <v>10</v>
      </c>
      <c r="H882">
        <v>1.21</v>
      </c>
      <c r="I882">
        <v>45</v>
      </c>
      <c r="K882" s="14">
        <v>44090</v>
      </c>
      <c r="L882" s="15">
        <v>0.61111111111111105</v>
      </c>
      <c r="M882" s="13" t="s">
        <v>9</v>
      </c>
      <c r="N882" s="13">
        <v>2.97</v>
      </c>
      <c r="O882" s="13">
        <v>50</v>
      </c>
      <c r="Q882" s="18">
        <v>44037</v>
      </c>
      <c r="R882" s="19">
        <v>0.73402777777777783</v>
      </c>
      <c r="S882" s="17" t="s">
        <v>8</v>
      </c>
      <c r="T882" s="17">
        <v>0.18</v>
      </c>
      <c r="U882" s="17">
        <v>15</v>
      </c>
    </row>
    <row r="883" spans="5:21" x14ac:dyDescent="0.25">
      <c r="E883" s="10">
        <v>43867</v>
      </c>
      <c r="F883" s="11">
        <v>0.38958333333333334</v>
      </c>
      <c r="G883" t="s">
        <v>10</v>
      </c>
      <c r="H883">
        <v>10.14</v>
      </c>
      <c r="I883">
        <v>100</v>
      </c>
      <c r="K883" s="14">
        <v>44091</v>
      </c>
      <c r="L883" s="15">
        <v>3.7499999999999999E-2</v>
      </c>
      <c r="M883" s="13" t="s">
        <v>9</v>
      </c>
      <c r="N883" s="13">
        <v>2.66</v>
      </c>
      <c r="O883" s="13">
        <v>150</v>
      </c>
      <c r="Q883" s="18">
        <v>43933</v>
      </c>
      <c r="R883" s="19">
        <v>0.61041666666666672</v>
      </c>
      <c r="S883" s="17" t="s">
        <v>24</v>
      </c>
      <c r="T883" s="17">
        <v>21.17</v>
      </c>
      <c r="U883" s="17">
        <v>1936</v>
      </c>
    </row>
    <row r="884" spans="5:21" x14ac:dyDescent="0.25">
      <c r="E884" s="10">
        <v>43867</v>
      </c>
      <c r="F884" s="11">
        <v>0.57777777777777783</v>
      </c>
      <c r="G884" t="s">
        <v>10</v>
      </c>
      <c r="H884">
        <v>1.1399999999999999</v>
      </c>
      <c r="I884">
        <v>75</v>
      </c>
      <c r="K884" s="14">
        <v>44114</v>
      </c>
      <c r="L884" s="15">
        <v>0.6791666666666667</v>
      </c>
      <c r="M884" s="13" t="s">
        <v>9</v>
      </c>
      <c r="N884" s="13">
        <v>0.96</v>
      </c>
      <c r="O884" s="13">
        <v>90</v>
      </c>
      <c r="Q884" s="18">
        <v>44071</v>
      </c>
      <c r="R884" s="19">
        <v>4.9305555555555554E-2</v>
      </c>
      <c r="S884" s="17" t="s">
        <v>16</v>
      </c>
      <c r="T884" s="17">
        <v>0.91</v>
      </c>
      <c r="U884" s="17">
        <v>40</v>
      </c>
    </row>
    <row r="885" spans="5:21" x14ac:dyDescent="0.25">
      <c r="E885" s="10">
        <v>43934</v>
      </c>
      <c r="F885" s="11">
        <v>0.13958333333333334</v>
      </c>
      <c r="G885" t="s">
        <v>10</v>
      </c>
      <c r="H885">
        <v>37.880000000000003</v>
      </c>
      <c r="I885">
        <v>800</v>
      </c>
      <c r="K885" s="14">
        <v>44114</v>
      </c>
      <c r="L885" s="15">
        <v>0.73958333333333337</v>
      </c>
      <c r="M885" s="13" t="s">
        <v>9</v>
      </c>
      <c r="N885" s="13">
        <v>0.56000000000000005</v>
      </c>
      <c r="O885" s="13">
        <v>150</v>
      </c>
      <c r="Q885" s="18">
        <v>43976</v>
      </c>
      <c r="R885" s="19">
        <v>0.72638888888888886</v>
      </c>
      <c r="S885" s="17" t="s">
        <v>23</v>
      </c>
      <c r="T885" s="17">
        <v>1.56</v>
      </c>
      <c r="U885" s="17">
        <v>50</v>
      </c>
    </row>
    <row r="886" spans="5:21" x14ac:dyDescent="0.25">
      <c r="E886" s="10">
        <v>43934</v>
      </c>
      <c r="F886" s="11">
        <v>0.15486111111111112</v>
      </c>
      <c r="G886" t="s">
        <v>10</v>
      </c>
      <c r="H886">
        <v>35.68</v>
      </c>
      <c r="I886">
        <v>770</v>
      </c>
      <c r="K886" s="14">
        <v>44114</v>
      </c>
      <c r="L886" s="15">
        <v>0.6069444444444444</v>
      </c>
      <c r="M886" s="13" t="s">
        <v>9</v>
      </c>
      <c r="N886" s="13">
        <v>1.44</v>
      </c>
      <c r="O886" s="13">
        <v>75</v>
      </c>
      <c r="Q886" s="18">
        <v>43973</v>
      </c>
      <c r="R886" s="19">
        <v>0.57222222222222219</v>
      </c>
      <c r="S886" s="17" t="s">
        <v>14</v>
      </c>
      <c r="T886" s="17">
        <v>8.6300000000000008</v>
      </c>
      <c r="U886" s="17">
        <v>100</v>
      </c>
    </row>
    <row r="887" spans="5:21" x14ac:dyDescent="0.25">
      <c r="E887" s="10">
        <v>43934</v>
      </c>
      <c r="F887" s="11">
        <v>0.17361111111111113</v>
      </c>
      <c r="G887" t="s">
        <v>10</v>
      </c>
      <c r="H887">
        <v>23.73</v>
      </c>
      <c r="I887">
        <v>1300</v>
      </c>
      <c r="K887" s="14">
        <v>44114</v>
      </c>
      <c r="L887" s="15">
        <v>0.68541666666666667</v>
      </c>
      <c r="M887" s="13" t="s">
        <v>9</v>
      </c>
      <c r="N887" s="13">
        <v>2.13</v>
      </c>
      <c r="O887" s="13">
        <v>200</v>
      </c>
      <c r="Q887" s="18">
        <v>44052</v>
      </c>
      <c r="R887" s="19">
        <v>0.55069444444444449</v>
      </c>
      <c r="S887" s="17" t="s">
        <v>31</v>
      </c>
      <c r="T887" s="17">
        <v>2.2400000000000002</v>
      </c>
      <c r="U887" s="17">
        <v>100</v>
      </c>
    </row>
    <row r="888" spans="5:21" x14ac:dyDescent="0.25">
      <c r="E888" s="10">
        <v>43934</v>
      </c>
      <c r="F888" s="11">
        <v>0.19930555555555554</v>
      </c>
      <c r="G888" t="s">
        <v>10</v>
      </c>
      <c r="H888">
        <v>17.329999999999998</v>
      </c>
      <c r="I888">
        <v>500</v>
      </c>
      <c r="K888" s="14">
        <v>44114</v>
      </c>
      <c r="L888" s="15">
        <v>0.77986111111111101</v>
      </c>
      <c r="M888" s="13" t="s">
        <v>9</v>
      </c>
      <c r="N888" s="13">
        <v>0.66</v>
      </c>
      <c r="O888" s="13">
        <v>200</v>
      </c>
      <c r="Q888" s="18">
        <v>43934</v>
      </c>
      <c r="R888" s="19">
        <v>0.14791666666666667</v>
      </c>
      <c r="S888" s="17" t="s">
        <v>10</v>
      </c>
      <c r="T888" s="17">
        <v>8.49</v>
      </c>
      <c r="U888" s="17">
        <v>50</v>
      </c>
    </row>
    <row r="889" spans="5:21" x14ac:dyDescent="0.25">
      <c r="E889" s="10">
        <v>43934</v>
      </c>
      <c r="F889" s="11">
        <v>5.6250000000000001E-2</v>
      </c>
      <c r="G889" t="s">
        <v>10</v>
      </c>
      <c r="H889">
        <v>16.71</v>
      </c>
      <c r="I889">
        <v>1000</v>
      </c>
      <c r="K889" s="14">
        <v>44114</v>
      </c>
      <c r="L889" s="15">
        <v>0.67499999999999993</v>
      </c>
      <c r="M889" s="13" t="s">
        <v>9</v>
      </c>
      <c r="N889" s="13">
        <v>0.35</v>
      </c>
      <c r="O889" s="13">
        <v>90</v>
      </c>
      <c r="Q889" s="18">
        <v>44188</v>
      </c>
      <c r="R889" s="19">
        <v>0.97986111111111107</v>
      </c>
      <c r="S889" s="17" t="s">
        <v>24</v>
      </c>
      <c r="T889" s="17">
        <v>1.72</v>
      </c>
      <c r="U889" s="17">
        <v>200</v>
      </c>
    </row>
    <row r="890" spans="5:21" x14ac:dyDescent="0.25">
      <c r="E890" s="10">
        <v>43934</v>
      </c>
      <c r="F890" s="11">
        <v>0.26041666666666669</v>
      </c>
      <c r="G890" t="s">
        <v>10</v>
      </c>
      <c r="H890">
        <v>11</v>
      </c>
      <c r="I890">
        <v>50</v>
      </c>
      <c r="K890" s="14">
        <v>44114</v>
      </c>
      <c r="L890" s="15">
        <v>0.76111111111111107</v>
      </c>
      <c r="M890" s="13" t="s">
        <v>9</v>
      </c>
      <c r="N890" s="13">
        <v>1.68</v>
      </c>
      <c r="O890" s="13">
        <v>250</v>
      </c>
      <c r="Q890" s="18">
        <v>44090</v>
      </c>
      <c r="R890" s="19">
        <v>0.61111111111111105</v>
      </c>
      <c r="S890" s="17" t="s">
        <v>9</v>
      </c>
      <c r="T890" s="17">
        <v>2.97</v>
      </c>
      <c r="U890" s="17">
        <v>50</v>
      </c>
    </row>
    <row r="891" spans="5:21" x14ac:dyDescent="0.25">
      <c r="E891" s="10">
        <v>43934</v>
      </c>
      <c r="F891" s="11">
        <v>0.18402777777777779</v>
      </c>
      <c r="G891" t="s">
        <v>10</v>
      </c>
      <c r="H891">
        <v>10.23</v>
      </c>
      <c r="I891">
        <v>700</v>
      </c>
      <c r="K891" s="14">
        <v>43834</v>
      </c>
      <c r="L891" s="15">
        <v>0.39513888888888887</v>
      </c>
      <c r="M891" s="13" t="s">
        <v>19</v>
      </c>
      <c r="N891" s="13">
        <v>2.38</v>
      </c>
      <c r="O891" s="13">
        <v>175</v>
      </c>
      <c r="Q891" s="18">
        <v>44065</v>
      </c>
      <c r="R891" s="19">
        <v>0.44791666666666669</v>
      </c>
      <c r="S891" s="17" t="s">
        <v>44</v>
      </c>
      <c r="T891" s="17">
        <v>1.54</v>
      </c>
      <c r="U891" s="17">
        <v>50</v>
      </c>
    </row>
    <row r="892" spans="5:21" x14ac:dyDescent="0.25">
      <c r="E892" s="10">
        <v>43934</v>
      </c>
      <c r="F892" s="11">
        <v>0.14791666666666667</v>
      </c>
      <c r="G892" t="s">
        <v>10</v>
      </c>
      <c r="H892">
        <v>8.49</v>
      </c>
      <c r="I892">
        <v>50</v>
      </c>
      <c r="K892" s="14">
        <v>43834</v>
      </c>
      <c r="L892" s="15">
        <v>0.43472222222222223</v>
      </c>
      <c r="M892" s="13" t="s">
        <v>19</v>
      </c>
      <c r="N892" s="13">
        <v>4.3899999999999997</v>
      </c>
      <c r="O892" s="13">
        <v>265</v>
      </c>
      <c r="Q892" s="18">
        <v>44027</v>
      </c>
      <c r="R892" s="19">
        <v>0.65763888888888888</v>
      </c>
      <c r="S892" s="17" t="s">
        <v>15</v>
      </c>
      <c r="T892" s="17">
        <v>0.15</v>
      </c>
      <c r="U892" s="17">
        <v>15</v>
      </c>
    </row>
    <row r="893" spans="5:21" x14ac:dyDescent="0.25">
      <c r="E893" s="10">
        <v>43934</v>
      </c>
      <c r="F893" s="11">
        <v>7.013888888888889E-2</v>
      </c>
      <c r="G893" t="s">
        <v>10</v>
      </c>
      <c r="H893">
        <v>7.97</v>
      </c>
      <c r="I893">
        <v>200</v>
      </c>
      <c r="K893" s="14">
        <v>43861</v>
      </c>
      <c r="L893" s="15">
        <v>0.89930555555555547</v>
      </c>
      <c r="M893" s="13" t="s">
        <v>19</v>
      </c>
      <c r="N893" s="13">
        <v>4.68</v>
      </c>
      <c r="O893" s="13">
        <v>50</v>
      </c>
      <c r="Q893" s="18">
        <v>43934</v>
      </c>
      <c r="R893" s="19">
        <v>5.6250000000000001E-2</v>
      </c>
      <c r="S893" s="17" t="s">
        <v>10</v>
      </c>
      <c r="T893" s="17">
        <v>16.71</v>
      </c>
      <c r="U893" s="17">
        <v>1000</v>
      </c>
    </row>
    <row r="894" spans="5:21" x14ac:dyDescent="0.25">
      <c r="E894" s="10">
        <v>43934</v>
      </c>
      <c r="F894" s="11">
        <v>7.2222222222222229E-2</v>
      </c>
      <c r="G894" t="s">
        <v>10</v>
      </c>
      <c r="H894">
        <v>7.42</v>
      </c>
      <c r="I894">
        <v>70</v>
      </c>
      <c r="K894" s="14">
        <v>43867</v>
      </c>
      <c r="L894" s="15">
        <v>0.90138888888888891</v>
      </c>
      <c r="M894" s="13" t="s">
        <v>19</v>
      </c>
      <c r="N894" s="13">
        <v>9.24</v>
      </c>
      <c r="O894" s="13">
        <v>50</v>
      </c>
      <c r="Q894" s="18">
        <v>43929</v>
      </c>
      <c r="R894" s="19">
        <v>0.83750000000000002</v>
      </c>
      <c r="S894" s="17" t="s">
        <v>22</v>
      </c>
      <c r="T894" s="17">
        <v>0.18</v>
      </c>
      <c r="U894" s="17">
        <v>75</v>
      </c>
    </row>
    <row r="895" spans="5:21" x14ac:dyDescent="0.25">
      <c r="E895" s="10">
        <v>43934</v>
      </c>
      <c r="F895" s="11">
        <v>0.16944444444444443</v>
      </c>
      <c r="G895" t="s">
        <v>10</v>
      </c>
      <c r="H895">
        <v>5.85</v>
      </c>
      <c r="I895">
        <v>300</v>
      </c>
      <c r="K895" s="14">
        <v>43921</v>
      </c>
      <c r="L895" s="15">
        <v>0.7284722222222223</v>
      </c>
      <c r="M895" s="13" t="s">
        <v>19</v>
      </c>
      <c r="N895" s="13">
        <v>0.39</v>
      </c>
      <c r="O895" s="13">
        <v>704</v>
      </c>
      <c r="Q895" s="18">
        <v>44070</v>
      </c>
      <c r="R895" s="19">
        <v>0.56666666666666665</v>
      </c>
      <c r="S895" s="17" t="s">
        <v>38</v>
      </c>
      <c r="T895" s="17">
        <v>0.06</v>
      </c>
      <c r="U895" s="17">
        <v>20</v>
      </c>
    </row>
    <row r="896" spans="5:21" x14ac:dyDescent="0.25">
      <c r="E896" s="10">
        <v>43934</v>
      </c>
      <c r="F896" s="11">
        <v>0.23472222222222219</v>
      </c>
      <c r="G896" t="s">
        <v>10</v>
      </c>
      <c r="H896">
        <v>5.74</v>
      </c>
      <c r="I896">
        <v>400</v>
      </c>
      <c r="K896" s="14">
        <v>43921</v>
      </c>
      <c r="L896" s="15">
        <v>0.6430555555555556</v>
      </c>
      <c r="M896" s="13" t="s">
        <v>19</v>
      </c>
      <c r="N896" s="13">
        <v>0.8</v>
      </c>
      <c r="O896" s="13">
        <v>704</v>
      </c>
      <c r="Q896" s="18">
        <v>43972</v>
      </c>
      <c r="R896" s="19">
        <v>0.63541666666666663</v>
      </c>
      <c r="S896" s="17" t="s">
        <v>12</v>
      </c>
      <c r="T896" s="17">
        <v>0.31</v>
      </c>
      <c r="U896" s="17">
        <v>50</v>
      </c>
    </row>
    <row r="897" spans="5:21" x14ac:dyDescent="0.25">
      <c r="E897" s="10">
        <v>43934</v>
      </c>
      <c r="F897" s="11">
        <v>0.15972222222222224</v>
      </c>
      <c r="G897" t="s">
        <v>10</v>
      </c>
      <c r="H897">
        <v>5.37</v>
      </c>
      <c r="I897">
        <v>800</v>
      </c>
      <c r="K897" s="14">
        <v>43921</v>
      </c>
      <c r="L897" s="15">
        <v>0.59513888888888888</v>
      </c>
      <c r="M897" s="13" t="s">
        <v>19</v>
      </c>
      <c r="N897" s="13">
        <v>11.74</v>
      </c>
      <c r="O897" s="13">
        <v>100</v>
      </c>
      <c r="Q897" s="18">
        <v>43934</v>
      </c>
      <c r="R897" s="19">
        <v>0.30486111111111108</v>
      </c>
      <c r="S897" s="17" t="s">
        <v>14</v>
      </c>
      <c r="T897" s="17">
        <v>2.84</v>
      </c>
      <c r="U897" s="17">
        <v>30</v>
      </c>
    </row>
    <row r="898" spans="5:21" x14ac:dyDescent="0.25">
      <c r="E898" s="10">
        <v>43934</v>
      </c>
      <c r="F898" s="11">
        <v>0.16180555555555556</v>
      </c>
      <c r="G898" t="s">
        <v>10</v>
      </c>
      <c r="H898">
        <v>4.8899999999999997</v>
      </c>
      <c r="I898">
        <v>80</v>
      </c>
      <c r="K898" s="14">
        <v>43921</v>
      </c>
      <c r="L898" s="15">
        <v>0.59027777777777779</v>
      </c>
      <c r="M898" s="13" t="s">
        <v>19</v>
      </c>
      <c r="N898" s="13">
        <v>9.2100000000000009</v>
      </c>
      <c r="O898" s="13">
        <v>150</v>
      </c>
      <c r="Q898" s="18">
        <v>44165</v>
      </c>
      <c r="R898" s="19">
        <v>9.0277777777777776E-2</v>
      </c>
      <c r="S898" s="17" t="s">
        <v>19</v>
      </c>
      <c r="T898" s="17">
        <v>5.52</v>
      </c>
      <c r="U898" s="17">
        <v>475</v>
      </c>
    </row>
    <row r="899" spans="5:21" x14ac:dyDescent="0.25">
      <c r="E899" s="10">
        <v>43934</v>
      </c>
      <c r="F899" s="11">
        <v>0.2590277777777778</v>
      </c>
      <c r="G899" t="s">
        <v>10</v>
      </c>
      <c r="H899">
        <v>4.76</v>
      </c>
      <c r="I899">
        <v>40</v>
      </c>
      <c r="K899" s="14">
        <v>43921</v>
      </c>
      <c r="L899" s="15">
        <v>0.49652777777777773</v>
      </c>
      <c r="M899" s="13" t="s">
        <v>19</v>
      </c>
      <c r="N899" s="13">
        <v>0.17</v>
      </c>
      <c r="O899" s="13">
        <v>25</v>
      </c>
      <c r="Q899" s="18">
        <v>43943</v>
      </c>
      <c r="R899" s="19">
        <v>0.70277777777777783</v>
      </c>
      <c r="S899" s="17" t="s">
        <v>33</v>
      </c>
      <c r="T899" s="17">
        <v>1.2</v>
      </c>
      <c r="U899" s="17">
        <v>30</v>
      </c>
    </row>
    <row r="900" spans="5:21" x14ac:dyDescent="0.25">
      <c r="E900" s="10">
        <v>43934</v>
      </c>
      <c r="F900" s="11">
        <v>0.27499999999999997</v>
      </c>
      <c r="G900" t="s">
        <v>10</v>
      </c>
      <c r="H900">
        <v>4.5599999999999996</v>
      </c>
      <c r="I900">
        <v>50</v>
      </c>
      <c r="K900" s="14">
        <v>43921</v>
      </c>
      <c r="L900" s="15">
        <v>0.60625000000000007</v>
      </c>
      <c r="M900" s="13" t="s">
        <v>19</v>
      </c>
      <c r="N900" s="13">
        <v>0.11</v>
      </c>
      <c r="O900" s="13">
        <v>50</v>
      </c>
      <c r="Q900" s="18">
        <v>43976</v>
      </c>
      <c r="R900" s="19">
        <v>0.67013888888888884</v>
      </c>
      <c r="S900" s="17" t="s">
        <v>6</v>
      </c>
      <c r="T900" s="17">
        <v>0.53</v>
      </c>
      <c r="U900" s="17">
        <v>100</v>
      </c>
    </row>
    <row r="901" spans="5:21" x14ac:dyDescent="0.25">
      <c r="E901" s="10">
        <v>43934</v>
      </c>
      <c r="F901" s="11">
        <v>5.4166666666666669E-2</v>
      </c>
      <c r="G901" t="s">
        <v>10</v>
      </c>
      <c r="H901">
        <v>3.97</v>
      </c>
      <c r="I901">
        <v>400</v>
      </c>
      <c r="K901" s="14">
        <v>43934</v>
      </c>
      <c r="L901" s="15">
        <v>0.33958333333333335</v>
      </c>
      <c r="M901" s="13" t="s">
        <v>19</v>
      </c>
      <c r="N901" s="13">
        <v>3.06</v>
      </c>
      <c r="O901" s="13">
        <v>175</v>
      </c>
      <c r="Q901" s="18">
        <v>43933</v>
      </c>
      <c r="R901" s="19">
        <v>0.15277777777777776</v>
      </c>
      <c r="S901" s="17" t="s">
        <v>6</v>
      </c>
      <c r="T901" s="17">
        <v>11.56</v>
      </c>
      <c r="U901" s="17">
        <v>150</v>
      </c>
    </row>
    <row r="902" spans="5:21" x14ac:dyDescent="0.25">
      <c r="E902" s="10">
        <v>43934</v>
      </c>
      <c r="F902" s="11">
        <v>0.1986111111111111</v>
      </c>
      <c r="G902" t="s">
        <v>10</v>
      </c>
      <c r="H902">
        <v>3.14</v>
      </c>
      <c r="I902">
        <v>100</v>
      </c>
      <c r="K902" s="14">
        <v>43936</v>
      </c>
      <c r="L902" s="15">
        <v>0.22013888888888888</v>
      </c>
      <c r="M902" s="13" t="s">
        <v>19</v>
      </c>
      <c r="N902" s="13">
        <v>14.86</v>
      </c>
      <c r="O902" s="13">
        <v>125</v>
      </c>
      <c r="Q902" s="18">
        <v>44006</v>
      </c>
      <c r="R902" s="19">
        <v>0.22569444444444445</v>
      </c>
      <c r="S902" s="17" t="s">
        <v>26</v>
      </c>
      <c r="T902" s="17">
        <v>0.33</v>
      </c>
      <c r="U902" s="17">
        <v>125</v>
      </c>
    </row>
    <row r="903" spans="5:21" x14ac:dyDescent="0.25">
      <c r="E903" s="10">
        <v>43934</v>
      </c>
      <c r="F903" s="11">
        <v>0.25</v>
      </c>
      <c r="G903" t="s">
        <v>10</v>
      </c>
      <c r="H903">
        <v>2.5</v>
      </c>
      <c r="I903">
        <v>400</v>
      </c>
      <c r="K903" s="14">
        <v>43938</v>
      </c>
      <c r="L903" s="15">
        <v>0.87013888888888891</v>
      </c>
      <c r="M903" s="13" t="s">
        <v>19</v>
      </c>
      <c r="N903" s="13">
        <v>0.83</v>
      </c>
      <c r="O903" s="13">
        <v>75</v>
      </c>
      <c r="Q903" s="18">
        <v>43933</v>
      </c>
      <c r="R903" s="19">
        <v>0.68194444444444446</v>
      </c>
      <c r="S903" s="17" t="s">
        <v>24</v>
      </c>
      <c r="T903" s="17">
        <v>14.29</v>
      </c>
      <c r="U903" s="17">
        <v>300</v>
      </c>
    </row>
    <row r="904" spans="5:21" x14ac:dyDescent="0.25">
      <c r="E904" s="10">
        <v>43934</v>
      </c>
      <c r="F904" s="11">
        <v>0.21527777777777779</v>
      </c>
      <c r="G904" t="s">
        <v>10</v>
      </c>
      <c r="H904">
        <v>2.29</v>
      </c>
      <c r="I904">
        <v>150</v>
      </c>
      <c r="K904" s="14">
        <v>43940</v>
      </c>
      <c r="L904" s="15">
        <v>0.96319444444444446</v>
      </c>
      <c r="M904" s="13" t="s">
        <v>19</v>
      </c>
      <c r="N904" s="13">
        <v>0.19</v>
      </c>
      <c r="O904" s="13">
        <v>50</v>
      </c>
      <c r="Q904" s="18">
        <v>44047</v>
      </c>
      <c r="R904" s="19">
        <v>0.77638888888888891</v>
      </c>
      <c r="S904" s="17" t="s">
        <v>31</v>
      </c>
      <c r="T904" s="17">
        <v>4.3600000000000003</v>
      </c>
      <c r="U904" s="17">
        <v>100</v>
      </c>
    </row>
    <row r="905" spans="5:21" x14ac:dyDescent="0.25">
      <c r="E905" s="10">
        <v>43934</v>
      </c>
      <c r="F905" s="11">
        <v>0.19375000000000001</v>
      </c>
      <c r="G905" t="s">
        <v>10</v>
      </c>
      <c r="H905">
        <v>1.44</v>
      </c>
      <c r="I905">
        <v>50</v>
      </c>
      <c r="K905" s="14">
        <v>43941</v>
      </c>
      <c r="L905" s="15">
        <v>0.31875000000000003</v>
      </c>
      <c r="M905" s="13" t="s">
        <v>19</v>
      </c>
      <c r="N905" s="13">
        <v>7.25</v>
      </c>
      <c r="O905" s="13">
        <v>35</v>
      </c>
      <c r="Q905" s="18">
        <v>44057</v>
      </c>
      <c r="R905" s="19">
        <v>0.70347222222222217</v>
      </c>
      <c r="S905" s="17" t="s">
        <v>28</v>
      </c>
      <c r="T905" s="17">
        <v>0.11</v>
      </c>
      <c r="U905" s="17">
        <v>25</v>
      </c>
    </row>
    <row r="906" spans="5:21" x14ac:dyDescent="0.25">
      <c r="E906" s="10">
        <v>43934</v>
      </c>
      <c r="F906" s="11">
        <v>0.15902777777777777</v>
      </c>
      <c r="G906" t="s">
        <v>10</v>
      </c>
      <c r="H906">
        <v>1.39</v>
      </c>
      <c r="I906">
        <v>40</v>
      </c>
      <c r="K906" s="14">
        <v>43941</v>
      </c>
      <c r="L906" s="15">
        <v>0.40625</v>
      </c>
      <c r="M906" s="13" t="s">
        <v>19</v>
      </c>
      <c r="N906" s="13">
        <v>2.74</v>
      </c>
      <c r="O906" s="13">
        <v>25</v>
      </c>
      <c r="Q906" s="18">
        <v>43967</v>
      </c>
      <c r="R906" s="19">
        <v>0.7402777777777777</v>
      </c>
      <c r="S906" s="17" t="s">
        <v>29</v>
      </c>
      <c r="T906" s="17">
        <v>0.47</v>
      </c>
      <c r="U906" s="17">
        <v>20</v>
      </c>
    </row>
    <row r="907" spans="5:21" x14ac:dyDescent="0.25">
      <c r="E907" s="10">
        <v>43934</v>
      </c>
      <c r="F907" s="11">
        <v>0.26944444444444443</v>
      </c>
      <c r="G907" t="s">
        <v>10</v>
      </c>
      <c r="H907">
        <v>1.25</v>
      </c>
      <c r="I907">
        <v>120</v>
      </c>
      <c r="K907" s="14">
        <v>43941</v>
      </c>
      <c r="L907" s="15">
        <v>0.31597222222222221</v>
      </c>
      <c r="M907" s="13" t="s">
        <v>19</v>
      </c>
      <c r="N907" s="13">
        <v>0.46</v>
      </c>
      <c r="O907" s="13">
        <v>500</v>
      </c>
      <c r="Q907" s="18">
        <v>44013</v>
      </c>
      <c r="R907" s="19">
        <v>0.49305555555555558</v>
      </c>
      <c r="S907" s="17" t="s">
        <v>29</v>
      </c>
      <c r="T907" s="17">
        <v>0.05</v>
      </c>
      <c r="U907" s="17">
        <v>25</v>
      </c>
    </row>
    <row r="908" spans="5:21" x14ac:dyDescent="0.25">
      <c r="E908" s="10">
        <v>43934</v>
      </c>
      <c r="F908" s="11">
        <v>0.26041666666666669</v>
      </c>
      <c r="G908" t="s">
        <v>10</v>
      </c>
      <c r="H908">
        <v>1.1599999999999999</v>
      </c>
      <c r="I908">
        <v>140</v>
      </c>
      <c r="K908" s="14">
        <v>43944</v>
      </c>
      <c r="L908" s="15">
        <v>0.74722222222222223</v>
      </c>
      <c r="M908" s="13" t="s">
        <v>19</v>
      </c>
      <c r="N908" s="13">
        <v>0.46</v>
      </c>
      <c r="O908" s="13">
        <v>100</v>
      </c>
      <c r="Q908" s="18">
        <v>43934</v>
      </c>
      <c r="R908" s="19">
        <v>5.4166666666666669E-2</v>
      </c>
      <c r="S908" s="17" t="s">
        <v>9</v>
      </c>
      <c r="T908" s="17">
        <v>12.91</v>
      </c>
      <c r="U908" s="17">
        <v>300</v>
      </c>
    </row>
    <row r="909" spans="5:21" x14ac:dyDescent="0.25">
      <c r="E909" s="10">
        <v>43934</v>
      </c>
      <c r="F909" s="11">
        <v>0.24374999999999999</v>
      </c>
      <c r="G909" t="s">
        <v>10</v>
      </c>
      <c r="H909">
        <v>0.93</v>
      </c>
      <c r="I909">
        <v>200</v>
      </c>
      <c r="K909" s="14">
        <v>43944</v>
      </c>
      <c r="L909" s="15">
        <v>0.625</v>
      </c>
      <c r="M909" s="13" t="s">
        <v>19</v>
      </c>
      <c r="N909" s="13">
        <v>13.4</v>
      </c>
      <c r="O909" s="13">
        <v>75</v>
      </c>
      <c r="Q909" s="18">
        <v>44008</v>
      </c>
      <c r="R909" s="19">
        <v>0.73958333333333337</v>
      </c>
      <c r="S909" s="17" t="s">
        <v>19</v>
      </c>
      <c r="T909" s="17">
        <v>0.4</v>
      </c>
      <c r="U909" s="17">
        <v>75</v>
      </c>
    </row>
    <row r="910" spans="5:21" x14ac:dyDescent="0.25">
      <c r="E910" s="10">
        <v>43934</v>
      </c>
      <c r="F910" s="11">
        <v>0.17013888888888887</v>
      </c>
      <c r="G910" t="s">
        <v>10</v>
      </c>
      <c r="H910">
        <v>0.91</v>
      </c>
      <c r="I910">
        <v>200</v>
      </c>
      <c r="K910" s="14">
        <v>43944</v>
      </c>
      <c r="L910" s="15">
        <v>0.68194444444444446</v>
      </c>
      <c r="M910" s="13" t="s">
        <v>19</v>
      </c>
      <c r="N910" s="13">
        <v>10.58</v>
      </c>
      <c r="O910" s="13">
        <v>600</v>
      </c>
      <c r="Q910" s="18">
        <v>43909</v>
      </c>
      <c r="R910" s="19">
        <v>2.9861111111111113E-2</v>
      </c>
      <c r="S910" s="17" t="s">
        <v>6</v>
      </c>
      <c r="T910" s="17">
        <v>5.38</v>
      </c>
      <c r="U910" s="17">
        <v>135</v>
      </c>
    </row>
    <row r="911" spans="5:21" x14ac:dyDescent="0.25">
      <c r="E911" s="10">
        <v>43934</v>
      </c>
      <c r="F911" s="11">
        <v>8.4027777777777771E-2</v>
      </c>
      <c r="G911" t="s">
        <v>10</v>
      </c>
      <c r="H911">
        <v>0.68</v>
      </c>
      <c r="I911">
        <v>30</v>
      </c>
      <c r="K911" s="14">
        <v>43944</v>
      </c>
      <c r="L911" s="15">
        <v>0.57708333333333328</v>
      </c>
      <c r="M911" s="13" t="s">
        <v>19</v>
      </c>
      <c r="N911" s="13">
        <v>2.7</v>
      </c>
      <c r="O911" s="13">
        <v>50</v>
      </c>
      <c r="Q911" s="18">
        <v>44114</v>
      </c>
      <c r="R911" s="19">
        <v>0.67499999999999993</v>
      </c>
      <c r="S911" s="17" t="s">
        <v>9</v>
      </c>
      <c r="T911" s="17">
        <v>0.35</v>
      </c>
      <c r="U911" s="17">
        <v>90</v>
      </c>
    </row>
    <row r="912" spans="5:21" x14ac:dyDescent="0.25">
      <c r="E912" s="10">
        <v>43934</v>
      </c>
      <c r="F912" s="11">
        <v>0.27291666666666664</v>
      </c>
      <c r="G912" t="s">
        <v>10</v>
      </c>
      <c r="H912">
        <v>0.3</v>
      </c>
      <c r="I912">
        <v>60</v>
      </c>
      <c r="K912" s="14">
        <v>43944</v>
      </c>
      <c r="L912" s="15">
        <v>0.7993055555555556</v>
      </c>
      <c r="M912" s="13" t="s">
        <v>19</v>
      </c>
      <c r="N912" s="13">
        <v>0.6</v>
      </c>
      <c r="O912" s="13">
        <v>50</v>
      </c>
      <c r="Q912" s="18">
        <v>43949</v>
      </c>
      <c r="R912" s="19">
        <v>0.87847222222222221</v>
      </c>
      <c r="S912" s="17" t="s">
        <v>33</v>
      </c>
      <c r="T912" s="17">
        <v>3.23</v>
      </c>
      <c r="U912" s="17">
        <v>100</v>
      </c>
    </row>
    <row r="913" spans="5:21" x14ac:dyDescent="0.25">
      <c r="E913" s="10">
        <v>43946</v>
      </c>
      <c r="F913" s="11">
        <v>0.79861111111111116</v>
      </c>
      <c r="G913" t="s">
        <v>10</v>
      </c>
      <c r="H913">
        <v>5.47</v>
      </c>
      <c r="I913">
        <v>400</v>
      </c>
      <c r="K913" s="14">
        <v>43944</v>
      </c>
      <c r="L913" s="15">
        <v>0.59236111111111112</v>
      </c>
      <c r="M913" s="13" t="s">
        <v>19</v>
      </c>
      <c r="N913" s="13">
        <v>9.07</v>
      </c>
      <c r="O913" s="13">
        <v>100</v>
      </c>
      <c r="Q913" s="18">
        <v>44145</v>
      </c>
      <c r="R913" s="19">
        <v>0.59722222222222221</v>
      </c>
      <c r="S913" s="17" t="s">
        <v>47</v>
      </c>
      <c r="T913" s="17">
        <v>1.7</v>
      </c>
      <c r="U913" s="17">
        <v>200</v>
      </c>
    </row>
    <row r="914" spans="5:21" x14ac:dyDescent="0.25">
      <c r="E914" s="10">
        <v>43950</v>
      </c>
      <c r="F914" s="11">
        <v>0.6791666666666667</v>
      </c>
      <c r="G914" t="s">
        <v>10</v>
      </c>
      <c r="H914">
        <v>0.57999999999999996</v>
      </c>
      <c r="I914">
        <v>30</v>
      </c>
      <c r="K914" s="14">
        <v>43944</v>
      </c>
      <c r="L914" s="15">
        <v>0.6166666666666667</v>
      </c>
      <c r="M914" s="13" t="s">
        <v>19</v>
      </c>
      <c r="N914" s="13">
        <v>17.239999999999998</v>
      </c>
      <c r="O914" s="13">
        <v>400</v>
      </c>
      <c r="Q914" s="18">
        <v>43933</v>
      </c>
      <c r="R914" s="19">
        <v>0.71388888888888891</v>
      </c>
      <c r="S914" s="17" t="s">
        <v>20</v>
      </c>
      <c r="T914" s="17">
        <v>5.52</v>
      </c>
      <c r="U914" s="17">
        <v>525</v>
      </c>
    </row>
    <row r="915" spans="5:21" x14ac:dyDescent="0.25">
      <c r="E915" s="10">
        <v>43956</v>
      </c>
      <c r="F915" s="11">
        <v>0.69861111111111107</v>
      </c>
      <c r="G915" t="s">
        <v>10</v>
      </c>
      <c r="H915">
        <v>13.98</v>
      </c>
      <c r="I915">
        <v>200</v>
      </c>
      <c r="K915" s="14">
        <v>43944</v>
      </c>
      <c r="L915" s="15">
        <v>0.70416666666666661</v>
      </c>
      <c r="M915" s="13" t="s">
        <v>19</v>
      </c>
      <c r="N915" s="13">
        <v>3.85</v>
      </c>
      <c r="O915" s="13">
        <v>100</v>
      </c>
      <c r="Q915" s="18">
        <v>44053</v>
      </c>
      <c r="R915" s="19">
        <v>0.44375000000000003</v>
      </c>
      <c r="S915" s="17" t="s">
        <v>23</v>
      </c>
      <c r="T915" s="17">
        <v>2.88</v>
      </c>
      <c r="U915" s="17">
        <v>100</v>
      </c>
    </row>
    <row r="916" spans="5:21" x14ac:dyDescent="0.25">
      <c r="E916" s="10">
        <v>43956</v>
      </c>
      <c r="F916" s="11">
        <v>0.68888888888888899</v>
      </c>
      <c r="G916" t="s">
        <v>10</v>
      </c>
      <c r="H916">
        <v>4.57</v>
      </c>
      <c r="I916">
        <v>100</v>
      </c>
      <c r="K916" s="14">
        <v>43944</v>
      </c>
      <c r="L916" s="15">
        <v>0.63124999999999998</v>
      </c>
      <c r="M916" s="13" t="s">
        <v>19</v>
      </c>
      <c r="N916" s="13">
        <v>0.9</v>
      </c>
      <c r="O916" s="13">
        <v>50</v>
      </c>
      <c r="Q916" s="18">
        <v>43934</v>
      </c>
      <c r="R916" s="19">
        <v>0.22569444444444445</v>
      </c>
      <c r="S916" s="17" t="s">
        <v>9</v>
      </c>
      <c r="T916" s="17">
        <v>4.75</v>
      </c>
      <c r="U916" s="17">
        <v>440</v>
      </c>
    </row>
    <row r="917" spans="5:21" x14ac:dyDescent="0.25">
      <c r="E917" s="10">
        <v>43971</v>
      </c>
      <c r="F917" s="11">
        <v>0.40763888888888888</v>
      </c>
      <c r="G917" t="s">
        <v>10</v>
      </c>
      <c r="H917">
        <v>0.77</v>
      </c>
      <c r="I917">
        <v>300</v>
      </c>
      <c r="K917" s="14">
        <v>43950</v>
      </c>
      <c r="L917" s="15">
        <v>0.7319444444444444</v>
      </c>
      <c r="M917" s="13" t="s">
        <v>19</v>
      </c>
      <c r="N917" s="13">
        <v>0.96</v>
      </c>
      <c r="O917" s="13">
        <v>150</v>
      </c>
      <c r="Q917" s="18">
        <v>43963</v>
      </c>
      <c r="R917" s="19">
        <v>0.43611111111111112</v>
      </c>
      <c r="S917" s="17" t="s">
        <v>6</v>
      </c>
      <c r="T917" s="17">
        <v>0.05</v>
      </c>
      <c r="U917" s="17">
        <v>20</v>
      </c>
    </row>
    <row r="918" spans="5:21" x14ac:dyDescent="0.25">
      <c r="E918" s="10">
        <v>43973</v>
      </c>
      <c r="F918" s="11">
        <v>0.56111111111111112</v>
      </c>
      <c r="G918" t="s">
        <v>10</v>
      </c>
      <c r="H918">
        <v>12.74</v>
      </c>
      <c r="I918">
        <v>200</v>
      </c>
      <c r="K918" s="14">
        <v>43972</v>
      </c>
      <c r="L918" s="15">
        <v>0.53125</v>
      </c>
      <c r="M918" s="13" t="s">
        <v>19</v>
      </c>
      <c r="N918" s="13">
        <v>0.25</v>
      </c>
      <c r="O918" s="13">
        <v>25</v>
      </c>
      <c r="Q918" s="18">
        <v>43978</v>
      </c>
      <c r="R918" s="19">
        <v>0.59791666666666665</v>
      </c>
      <c r="S918" s="17" t="s">
        <v>6</v>
      </c>
      <c r="T918" s="17">
        <v>0.8</v>
      </c>
      <c r="U918" s="17">
        <v>50</v>
      </c>
    </row>
    <row r="919" spans="5:21" x14ac:dyDescent="0.25">
      <c r="E919" s="10">
        <v>43992</v>
      </c>
      <c r="F919" s="11">
        <v>0.77013888888888893</v>
      </c>
      <c r="G919" t="s">
        <v>10</v>
      </c>
      <c r="H919">
        <v>0.41</v>
      </c>
      <c r="I919">
        <v>30</v>
      </c>
      <c r="K919" s="14">
        <v>43975</v>
      </c>
      <c r="L919" s="15">
        <v>0.97916666666666663</v>
      </c>
      <c r="M919" s="13" t="s">
        <v>19</v>
      </c>
      <c r="N919" s="13">
        <v>4.83</v>
      </c>
      <c r="O919" s="13">
        <v>40</v>
      </c>
      <c r="Q919" s="18">
        <v>43990</v>
      </c>
      <c r="R919" s="19">
        <v>0.76180555555555562</v>
      </c>
      <c r="S919" s="17" t="s">
        <v>8</v>
      </c>
      <c r="T919" s="17">
        <v>9</v>
      </c>
      <c r="U919" s="17">
        <v>300</v>
      </c>
    </row>
    <row r="920" spans="5:21" x14ac:dyDescent="0.25">
      <c r="E920" s="10">
        <v>44046</v>
      </c>
      <c r="F920" s="11">
        <v>0.76388888888888884</v>
      </c>
      <c r="G920" t="s">
        <v>10</v>
      </c>
      <c r="H920">
        <v>0.2</v>
      </c>
      <c r="I920">
        <v>30</v>
      </c>
      <c r="K920" s="14">
        <v>43983</v>
      </c>
      <c r="L920" s="15">
        <v>0.65208333333333335</v>
      </c>
      <c r="M920" s="13" t="s">
        <v>19</v>
      </c>
      <c r="N920" s="13">
        <v>0.62</v>
      </c>
      <c r="O920" s="13">
        <v>75</v>
      </c>
      <c r="Q920" s="18">
        <v>43934</v>
      </c>
      <c r="R920" s="19">
        <v>0.1673611111111111</v>
      </c>
      <c r="S920" s="17" t="s">
        <v>9</v>
      </c>
      <c r="T920" s="17">
        <v>1.92</v>
      </c>
      <c r="U920" s="17">
        <v>50</v>
      </c>
    </row>
    <row r="921" spans="5:21" x14ac:dyDescent="0.25">
      <c r="E921" s="10">
        <v>44091</v>
      </c>
      <c r="F921" s="11">
        <v>0.24861111111111112</v>
      </c>
      <c r="G921" t="s">
        <v>10</v>
      </c>
      <c r="H921">
        <v>6.9</v>
      </c>
      <c r="I921">
        <v>150</v>
      </c>
      <c r="K921" s="14">
        <v>43988</v>
      </c>
      <c r="L921" s="15">
        <v>0.69444444444444453</v>
      </c>
      <c r="M921" s="13" t="s">
        <v>19</v>
      </c>
      <c r="N921" s="13">
        <v>0.01</v>
      </c>
      <c r="O921" s="13">
        <v>20</v>
      </c>
      <c r="Q921" s="18">
        <v>44023</v>
      </c>
      <c r="R921" s="19">
        <v>0.96111111111111114</v>
      </c>
      <c r="S921" s="17" t="s">
        <v>33</v>
      </c>
      <c r="T921" s="17">
        <v>0.2</v>
      </c>
      <c r="U921" s="17">
        <v>10</v>
      </c>
    </row>
    <row r="922" spans="5:21" x14ac:dyDescent="0.25">
      <c r="E922" s="10">
        <v>44091</v>
      </c>
      <c r="F922" s="11">
        <v>0.47152777777777777</v>
      </c>
      <c r="G922" t="s">
        <v>10</v>
      </c>
      <c r="H922">
        <v>6.26</v>
      </c>
      <c r="I922">
        <v>25</v>
      </c>
      <c r="K922" s="14">
        <v>43988</v>
      </c>
      <c r="L922" s="15">
        <v>0.66597222222222219</v>
      </c>
      <c r="M922" s="13" t="s">
        <v>19</v>
      </c>
      <c r="N922" s="13">
        <v>0.91</v>
      </c>
      <c r="O922" s="13">
        <v>75</v>
      </c>
      <c r="Q922" s="18">
        <v>44026</v>
      </c>
      <c r="R922" s="19">
        <v>0.79166666666666663</v>
      </c>
      <c r="S922" s="17" t="s">
        <v>7</v>
      </c>
      <c r="T922" s="17">
        <v>2.33</v>
      </c>
      <c r="U922" s="17">
        <v>50</v>
      </c>
    </row>
    <row r="923" spans="5:21" x14ac:dyDescent="0.25">
      <c r="E923" s="10">
        <v>44091</v>
      </c>
      <c r="F923" s="11">
        <v>0.40486111111111112</v>
      </c>
      <c r="G923" t="s">
        <v>10</v>
      </c>
      <c r="H923">
        <v>5.88</v>
      </c>
      <c r="I923">
        <v>50</v>
      </c>
      <c r="K923" s="14">
        <v>43988</v>
      </c>
      <c r="L923" s="15">
        <v>0.67152777777777783</v>
      </c>
      <c r="M923" s="13" t="s">
        <v>19</v>
      </c>
      <c r="N923" s="13">
        <v>0.01</v>
      </c>
      <c r="O923" s="13">
        <v>10</v>
      </c>
      <c r="Q923" s="18">
        <v>43986</v>
      </c>
      <c r="R923" s="19">
        <v>0.69791666666666663</v>
      </c>
      <c r="S923" s="17" t="s">
        <v>28</v>
      </c>
      <c r="T923" s="17">
        <v>0.82</v>
      </c>
      <c r="U923" s="17">
        <v>30</v>
      </c>
    </row>
    <row r="924" spans="5:21" x14ac:dyDescent="0.25">
      <c r="E924" s="10">
        <v>44091</v>
      </c>
      <c r="F924" s="11">
        <v>0.53125</v>
      </c>
      <c r="G924" t="s">
        <v>10</v>
      </c>
      <c r="H924">
        <v>4.99</v>
      </c>
      <c r="I924">
        <v>25</v>
      </c>
      <c r="K924" s="14">
        <v>43988</v>
      </c>
      <c r="L924" s="15">
        <v>0.76874999999999993</v>
      </c>
      <c r="M924" s="13" t="s">
        <v>19</v>
      </c>
      <c r="N924" s="13">
        <v>2</v>
      </c>
      <c r="O924" s="13">
        <v>200</v>
      </c>
      <c r="Q924" s="18">
        <v>43934</v>
      </c>
      <c r="R924" s="19">
        <v>0.25</v>
      </c>
      <c r="S924" s="17" t="s">
        <v>10</v>
      </c>
      <c r="T924" s="17">
        <v>2.5</v>
      </c>
      <c r="U924" s="17">
        <v>400</v>
      </c>
    </row>
    <row r="925" spans="5:21" x14ac:dyDescent="0.25">
      <c r="E925" s="10">
        <v>44091</v>
      </c>
      <c r="F925" s="11">
        <v>0.24930555555555556</v>
      </c>
      <c r="G925" t="s">
        <v>10</v>
      </c>
      <c r="H925">
        <v>2.5</v>
      </c>
      <c r="I925">
        <v>100</v>
      </c>
      <c r="K925" s="14">
        <v>43988</v>
      </c>
      <c r="L925" s="15">
        <v>0.66180555555555554</v>
      </c>
      <c r="M925" s="13" t="s">
        <v>19</v>
      </c>
      <c r="N925" s="13">
        <v>0.25</v>
      </c>
      <c r="O925" s="13">
        <v>75</v>
      </c>
      <c r="Q925" s="18">
        <v>43933</v>
      </c>
      <c r="R925" s="19">
        <v>0.8618055555555556</v>
      </c>
      <c r="S925" s="17" t="s">
        <v>20</v>
      </c>
      <c r="T925" s="17">
        <v>8.0500000000000007</v>
      </c>
      <c r="U925" s="17">
        <v>1000</v>
      </c>
    </row>
    <row r="926" spans="5:21" x14ac:dyDescent="0.25">
      <c r="E926" s="10">
        <v>44091</v>
      </c>
      <c r="F926" s="11">
        <v>0.55625000000000002</v>
      </c>
      <c r="G926" t="s">
        <v>10</v>
      </c>
      <c r="H926">
        <v>2.2400000000000002</v>
      </c>
      <c r="I926">
        <v>20</v>
      </c>
      <c r="K926" s="14">
        <v>43988</v>
      </c>
      <c r="L926" s="15">
        <v>0.68055555555555547</v>
      </c>
      <c r="M926" s="13" t="s">
        <v>19</v>
      </c>
      <c r="N926" s="13">
        <v>0.51</v>
      </c>
      <c r="O926" s="13">
        <v>75</v>
      </c>
      <c r="Q926" s="18">
        <v>43914</v>
      </c>
      <c r="R926" s="19">
        <v>0.76111111111111107</v>
      </c>
      <c r="S926" s="17" t="s">
        <v>21</v>
      </c>
      <c r="T926" s="17">
        <v>4.76</v>
      </c>
      <c r="U926" s="17">
        <v>175</v>
      </c>
    </row>
    <row r="927" spans="5:21" x14ac:dyDescent="0.25">
      <c r="E927" s="10">
        <v>44091</v>
      </c>
      <c r="F927" s="11">
        <v>0.42083333333333334</v>
      </c>
      <c r="G927" t="s">
        <v>10</v>
      </c>
      <c r="H927">
        <v>1.01</v>
      </c>
      <c r="I927">
        <v>25</v>
      </c>
      <c r="K927" s="14">
        <v>43988</v>
      </c>
      <c r="L927" s="15">
        <v>0.72222222222222221</v>
      </c>
      <c r="M927" s="13" t="s">
        <v>19</v>
      </c>
      <c r="N927" s="13">
        <v>5.12</v>
      </c>
      <c r="O927" s="13">
        <v>500</v>
      </c>
      <c r="Q927" s="18">
        <v>44160</v>
      </c>
      <c r="R927" s="19">
        <v>7.7083333333333337E-2</v>
      </c>
      <c r="S927" s="17" t="s">
        <v>6</v>
      </c>
      <c r="T927" s="17">
        <v>0.36</v>
      </c>
      <c r="U927" s="17">
        <v>75</v>
      </c>
    </row>
    <row r="928" spans="5:21" x14ac:dyDescent="0.25">
      <c r="E928" s="10">
        <v>44091</v>
      </c>
      <c r="F928" s="11">
        <v>0.34513888888888888</v>
      </c>
      <c r="G928" t="s">
        <v>10</v>
      </c>
      <c r="H928">
        <v>0.93</v>
      </c>
      <c r="I928">
        <v>100</v>
      </c>
      <c r="K928" s="14">
        <v>43989</v>
      </c>
      <c r="L928" s="15">
        <v>0.69513888888888886</v>
      </c>
      <c r="M928" s="13" t="s">
        <v>19</v>
      </c>
      <c r="N928" s="13">
        <v>0.5</v>
      </c>
      <c r="O928" s="13">
        <v>20</v>
      </c>
      <c r="Q928" s="18">
        <v>44057</v>
      </c>
      <c r="R928" s="19">
        <v>0.75694444444444453</v>
      </c>
      <c r="S928" s="17" t="s">
        <v>8</v>
      </c>
      <c r="T928" s="17">
        <v>2.7</v>
      </c>
      <c r="U928" s="17">
        <v>150</v>
      </c>
    </row>
    <row r="929" spans="5:21" x14ac:dyDescent="0.25">
      <c r="E929" s="10">
        <v>44091</v>
      </c>
      <c r="F929" s="11">
        <v>0.38472222222222219</v>
      </c>
      <c r="G929" t="s">
        <v>10</v>
      </c>
      <c r="H929">
        <v>0.6</v>
      </c>
      <c r="I929">
        <v>25</v>
      </c>
      <c r="K929" s="14">
        <v>43989</v>
      </c>
      <c r="L929" s="15">
        <v>0.56944444444444442</v>
      </c>
      <c r="M929" s="13" t="s">
        <v>19</v>
      </c>
      <c r="N929" s="13">
        <v>0.01</v>
      </c>
      <c r="O929" s="13">
        <v>25</v>
      </c>
      <c r="Q929" s="18">
        <v>43933</v>
      </c>
      <c r="R929" s="19">
        <v>0.57430555555555551</v>
      </c>
      <c r="S929" s="17" t="s">
        <v>24</v>
      </c>
      <c r="T929" s="17">
        <v>3.04</v>
      </c>
      <c r="U929" s="17">
        <v>150</v>
      </c>
    </row>
    <row r="930" spans="5:21" x14ac:dyDescent="0.25">
      <c r="E930" s="10">
        <v>44091</v>
      </c>
      <c r="F930" s="11">
        <v>0.30069444444444443</v>
      </c>
      <c r="G930" t="s">
        <v>10</v>
      </c>
      <c r="H930">
        <v>0.6</v>
      </c>
      <c r="I930">
        <v>150</v>
      </c>
      <c r="K930" s="14">
        <v>43989</v>
      </c>
      <c r="L930" s="15">
        <v>0.5625</v>
      </c>
      <c r="M930" s="13" t="s">
        <v>19</v>
      </c>
      <c r="N930" s="13">
        <v>1.43</v>
      </c>
      <c r="O930" s="13">
        <v>100</v>
      </c>
      <c r="Q930" s="18">
        <v>43933</v>
      </c>
      <c r="R930" s="19">
        <v>0.5</v>
      </c>
      <c r="S930" s="17" t="s">
        <v>24</v>
      </c>
      <c r="T930" s="17">
        <v>6.02</v>
      </c>
      <c r="U930" s="17">
        <v>200</v>
      </c>
    </row>
    <row r="931" spans="5:21" x14ac:dyDescent="0.25">
      <c r="E931" s="10">
        <v>44091</v>
      </c>
      <c r="F931" s="11">
        <v>0.44791666666666669</v>
      </c>
      <c r="G931" t="s">
        <v>10</v>
      </c>
      <c r="H931">
        <v>0.32</v>
      </c>
      <c r="I931">
        <v>25</v>
      </c>
      <c r="K931" s="14">
        <v>43989</v>
      </c>
      <c r="L931" s="15">
        <v>0.58680555555555558</v>
      </c>
      <c r="M931" s="13" t="s">
        <v>19</v>
      </c>
      <c r="N931" s="13">
        <v>0.01</v>
      </c>
      <c r="O931" s="13">
        <v>25</v>
      </c>
      <c r="Q931" s="18">
        <v>44160</v>
      </c>
      <c r="R931" s="19">
        <v>0.30624999999999997</v>
      </c>
      <c r="S931" s="17" t="s">
        <v>24</v>
      </c>
      <c r="T931" s="17">
        <v>0.74</v>
      </c>
      <c r="U931" s="17">
        <v>175</v>
      </c>
    </row>
    <row r="932" spans="5:21" x14ac:dyDescent="0.25">
      <c r="E932" s="10">
        <v>44091</v>
      </c>
      <c r="F932" s="11">
        <v>0.32569444444444445</v>
      </c>
      <c r="G932" t="s">
        <v>10</v>
      </c>
      <c r="H932">
        <v>0.23</v>
      </c>
      <c r="I932">
        <v>100</v>
      </c>
      <c r="K932" s="14">
        <v>44008</v>
      </c>
      <c r="L932" s="15">
        <v>0.73958333333333337</v>
      </c>
      <c r="M932" s="13" t="s">
        <v>19</v>
      </c>
      <c r="N932" s="13">
        <v>0.4</v>
      </c>
      <c r="O932" s="13">
        <v>75</v>
      </c>
      <c r="Q932" s="18">
        <v>43946</v>
      </c>
      <c r="R932" s="19">
        <v>0.65625</v>
      </c>
      <c r="S932" s="17" t="s">
        <v>21</v>
      </c>
      <c r="T932" s="17">
        <v>3.81</v>
      </c>
      <c r="U932" s="17">
        <v>100</v>
      </c>
    </row>
    <row r="933" spans="5:21" x14ac:dyDescent="0.25">
      <c r="E933" s="10">
        <v>44099</v>
      </c>
      <c r="F933" s="11">
        <v>0.55833333333333335</v>
      </c>
      <c r="G933" t="s">
        <v>10</v>
      </c>
      <c r="H933">
        <v>0.19</v>
      </c>
      <c r="I933">
        <v>25</v>
      </c>
      <c r="K933" s="14">
        <v>44026</v>
      </c>
      <c r="L933" s="15">
        <v>0.69791666666666663</v>
      </c>
      <c r="M933" s="13" t="s">
        <v>19</v>
      </c>
      <c r="N933" s="13">
        <v>0.25</v>
      </c>
      <c r="O933" s="13">
        <v>25</v>
      </c>
      <c r="Q933" s="18">
        <v>44070</v>
      </c>
      <c r="R933" s="19">
        <v>0.50763888888888886</v>
      </c>
      <c r="S933" s="17" t="s">
        <v>36</v>
      </c>
      <c r="T933" s="17">
        <v>0.25</v>
      </c>
      <c r="U933" s="17">
        <v>25</v>
      </c>
    </row>
    <row r="934" spans="5:21" x14ac:dyDescent="0.25">
      <c r="E934" s="10">
        <v>44115</v>
      </c>
      <c r="F934" s="11">
        <v>0.60486111111111118</v>
      </c>
      <c r="G934" t="s">
        <v>10</v>
      </c>
      <c r="H934">
        <v>2.27</v>
      </c>
      <c r="I934">
        <v>20</v>
      </c>
      <c r="K934" s="14">
        <v>44028</v>
      </c>
      <c r="L934" s="15">
        <v>0.67013888888888884</v>
      </c>
      <c r="M934" s="13" t="s">
        <v>19</v>
      </c>
      <c r="N934" s="13">
        <v>0.16</v>
      </c>
      <c r="O934" s="13">
        <v>75</v>
      </c>
      <c r="Q934" s="18">
        <v>43990</v>
      </c>
      <c r="R934" s="19">
        <v>0.82291666666666663</v>
      </c>
      <c r="S934" s="17" t="s">
        <v>8</v>
      </c>
      <c r="T934" s="17">
        <v>1.2</v>
      </c>
      <c r="U934" s="17">
        <v>100</v>
      </c>
    </row>
    <row r="935" spans="5:21" x14ac:dyDescent="0.25">
      <c r="E935" s="10">
        <v>44115</v>
      </c>
      <c r="F935" s="11">
        <v>0.55555555555555558</v>
      </c>
      <c r="G935" t="s">
        <v>10</v>
      </c>
      <c r="H935">
        <v>0.5</v>
      </c>
      <c r="I935">
        <v>40</v>
      </c>
      <c r="K935" s="14">
        <v>44052</v>
      </c>
      <c r="L935" s="15">
        <v>0.67708333333333337</v>
      </c>
      <c r="M935" s="13" t="s">
        <v>19</v>
      </c>
      <c r="N935" s="13">
        <v>0.17</v>
      </c>
      <c r="O935" s="13">
        <v>100</v>
      </c>
      <c r="Q935" s="18">
        <v>43933</v>
      </c>
      <c r="R935" s="19">
        <v>0.65347222222222223</v>
      </c>
      <c r="S935" s="17" t="s">
        <v>20</v>
      </c>
      <c r="T935" s="17">
        <v>6.14</v>
      </c>
      <c r="U935" s="17">
        <v>600</v>
      </c>
    </row>
    <row r="936" spans="5:21" x14ac:dyDescent="0.25">
      <c r="E936" s="10">
        <v>44115</v>
      </c>
      <c r="F936" s="11">
        <v>0.59652777777777777</v>
      </c>
      <c r="G936" t="s">
        <v>10</v>
      </c>
      <c r="H936">
        <v>0.3</v>
      </c>
      <c r="I936">
        <v>30</v>
      </c>
      <c r="K936" s="14">
        <v>44059</v>
      </c>
      <c r="L936" s="15">
        <v>0.6166666666666667</v>
      </c>
      <c r="M936" s="13" t="s">
        <v>19</v>
      </c>
      <c r="N936" s="13">
        <v>0.43</v>
      </c>
      <c r="O936" s="13">
        <v>15</v>
      </c>
      <c r="Q936" s="18">
        <v>44052</v>
      </c>
      <c r="R936" s="19">
        <v>0.81111111111111101</v>
      </c>
      <c r="S936" s="17" t="s">
        <v>32</v>
      </c>
      <c r="T936" s="17">
        <v>5.89</v>
      </c>
      <c r="U936" s="17">
        <v>250</v>
      </c>
    </row>
    <row r="937" spans="5:21" x14ac:dyDescent="0.25">
      <c r="E937" s="10">
        <v>44189</v>
      </c>
      <c r="F937" s="11">
        <v>0.77083333333333337</v>
      </c>
      <c r="G937" t="s">
        <v>10</v>
      </c>
      <c r="H937">
        <v>0.32</v>
      </c>
      <c r="I937">
        <v>50</v>
      </c>
      <c r="K937" s="14">
        <v>44061</v>
      </c>
      <c r="L937" s="15">
        <v>0.57500000000000007</v>
      </c>
      <c r="M937" s="13" t="s">
        <v>19</v>
      </c>
      <c r="N937" s="13">
        <v>4.59</v>
      </c>
      <c r="O937" s="13">
        <v>550</v>
      </c>
      <c r="Q937" s="18">
        <v>43968</v>
      </c>
      <c r="R937" s="19">
        <v>0.68472222222222223</v>
      </c>
      <c r="S937" s="17" t="s">
        <v>15</v>
      </c>
      <c r="T937" s="17">
        <v>0.52</v>
      </c>
      <c r="U937" s="17">
        <v>25</v>
      </c>
    </row>
    <row r="938" spans="5:21" x14ac:dyDescent="0.25">
      <c r="E938" s="10">
        <v>43989</v>
      </c>
      <c r="F938" s="11">
        <v>0.8125</v>
      </c>
      <c r="G938" t="s">
        <v>16</v>
      </c>
      <c r="H938">
        <v>5.35</v>
      </c>
      <c r="I938">
        <v>50</v>
      </c>
      <c r="K938" s="14">
        <v>44061</v>
      </c>
      <c r="L938" s="15">
        <v>0.57500000000000007</v>
      </c>
      <c r="M938" s="13" t="s">
        <v>19</v>
      </c>
      <c r="N938" s="13">
        <v>0.05</v>
      </c>
      <c r="O938" s="13">
        <v>70</v>
      </c>
      <c r="Q938" s="18">
        <v>44071</v>
      </c>
      <c r="R938" s="19">
        <v>1.8055555555555557E-2</v>
      </c>
      <c r="S938" s="17" t="s">
        <v>16</v>
      </c>
      <c r="T938" s="17">
        <v>0.36</v>
      </c>
      <c r="U938" s="17">
        <v>25</v>
      </c>
    </row>
    <row r="939" spans="5:21" x14ac:dyDescent="0.25">
      <c r="E939" s="10">
        <v>43989</v>
      </c>
      <c r="F939" s="11">
        <v>0.72013888888888899</v>
      </c>
      <c r="G939" t="s">
        <v>16</v>
      </c>
      <c r="H939">
        <v>0.99</v>
      </c>
      <c r="I939">
        <v>70</v>
      </c>
      <c r="K939" s="14">
        <v>44062</v>
      </c>
      <c r="L939" s="15">
        <v>0.51388888888888895</v>
      </c>
      <c r="M939" s="13" t="s">
        <v>19</v>
      </c>
      <c r="N939" s="13">
        <v>0.5</v>
      </c>
      <c r="O939" s="13">
        <v>160</v>
      </c>
      <c r="Q939" s="18">
        <v>44050</v>
      </c>
      <c r="R939" s="19">
        <v>0.77083333333333337</v>
      </c>
      <c r="S939" s="17" t="s">
        <v>8</v>
      </c>
      <c r="T939" s="17">
        <v>0.2</v>
      </c>
      <c r="U939" s="17">
        <v>25</v>
      </c>
    </row>
    <row r="940" spans="5:21" x14ac:dyDescent="0.25">
      <c r="E940" s="10">
        <v>43989</v>
      </c>
      <c r="F940" s="11">
        <v>0.72569444444444453</v>
      </c>
      <c r="G940" t="s">
        <v>16</v>
      </c>
      <c r="H940">
        <v>0.65</v>
      </c>
      <c r="I940">
        <v>150</v>
      </c>
      <c r="K940" s="14">
        <v>44090</v>
      </c>
      <c r="L940" s="15">
        <v>0.28680555555555554</v>
      </c>
      <c r="M940" s="13" t="s">
        <v>19</v>
      </c>
      <c r="N940" s="13">
        <v>9.92</v>
      </c>
      <c r="O940" s="13">
        <v>50</v>
      </c>
      <c r="Q940" s="18">
        <v>43971</v>
      </c>
      <c r="R940" s="19">
        <v>0.77847222222222223</v>
      </c>
      <c r="S940" s="17" t="s">
        <v>7</v>
      </c>
      <c r="T940" s="17">
        <v>1.4</v>
      </c>
      <c r="U940" s="17">
        <v>50</v>
      </c>
    </row>
    <row r="941" spans="5:21" x14ac:dyDescent="0.25">
      <c r="E941" s="10">
        <v>43989</v>
      </c>
      <c r="F941" s="11">
        <v>0.71180555555555547</v>
      </c>
      <c r="G941" t="s">
        <v>16</v>
      </c>
      <c r="H941">
        <v>0.36</v>
      </c>
      <c r="I941">
        <v>50</v>
      </c>
      <c r="K941" s="14">
        <v>44146</v>
      </c>
      <c r="L941" s="15">
        <v>0.47083333333333338</v>
      </c>
      <c r="M941" s="13" t="s">
        <v>19</v>
      </c>
      <c r="N941" s="13">
        <v>0.36</v>
      </c>
      <c r="O941" s="13">
        <v>100</v>
      </c>
      <c r="Q941" s="18">
        <v>44045</v>
      </c>
      <c r="R941" s="19">
        <v>0.65</v>
      </c>
      <c r="S941" s="17" t="s">
        <v>38</v>
      </c>
      <c r="T941" s="17">
        <v>0.25</v>
      </c>
      <c r="U941" s="17">
        <v>30</v>
      </c>
    </row>
    <row r="942" spans="5:21" x14ac:dyDescent="0.25">
      <c r="E942" s="10">
        <v>43990</v>
      </c>
      <c r="F942" s="11">
        <v>0.94027777777777777</v>
      </c>
      <c r="G942" t="s">
        <v>16</v>
      </c>
      <c r="H942">
        <v>0.01</v>
      </c>
      <c r="I942">
        <v>5</v>
      </c>
      <c r="K942" s="14">
        <v>44165</v>
      </c>
      <c r="L942" s="15">
        <v>0.20833333333333334</v>
      </c>
      <c r="M942" s="13" t="s">
        <v>19</v>
      </c>
      <c r="N942" s="13">
        <v>12.45</v>
      </c>
      <c r="O942" s="13">
        <v>50</v>
      </c>
      <c r="Q942" s="18">
        <v>43934</v>
      </c>
      <c r="R942" s="19">
        <v>9.1666666666666674E-2</v>
      </c>
      <c r="S942" s="17" t="s">
        <v>9</v>
      </c>
      <c r="T942" s="17">
        <v>1.01</v>
      </c>
      <c r="U942" s="17">
        <v>100</v>
      </c>
    </row>
    <row r="943" spans="5:21" x14ac:dyDescent="0.25">
      <c r="E943" s="10">
        <v>44002</v>
      </c>
      <c r="F943" s="11">
        <v>0.79791666666666661</v>
      </c>
      <c r="G943" t="s">
        <v>16</v>
      </c>
      <c r="H943">
        <v>0.18</v>
      </c>
      <c r="I943">
        <v>10</v>
      </c>
      <c r="K943" s="14">
        <v>44165</v>
      </c>
      <c r="L943" s="15">
        <v>9.0277777777777776E-2</v>
      </c>
      <c r="M943" s="13" t="s">
        <v>19</v>
      </c>
      <c r="N943" s="13">
        <v>5.52</v>
      </c>
      <c r="O943" s="13">
        <v>475</v>
      </c>
      <c r="Q943" s="18">
        <v>43907</v>
      </c>
      <c r="R943" s="19">
        <v>0.64236111111111105</v>
      </c>
      <c r="S943" s="17" t="s">
        <v>6</v>
      </c>
      <c r="T943" s="17">
        <v>7.0000000000000007E-2</v>
      </c>
      <c r="U943" s="17">
        <v>35</v>
      </c>
    </row>
    <row r="944" spans="5:21" x14ac:dyDescent="0.25">
      <c r="E944" s="10">
        <v>44016</v>
      </c>
      <c r="F944" s="11">
        <v>0.77430555555555547</v>
      </c>
      <c r="G944" t="s">
        <v>16</v>
      </c>
      <c r="H944">
        <v>2.66</v>
      </c>
      <c r="I944">
        <v>150</v>
      </c>
      <c r="K944" s="14">
        <v>44181</v>
      </c>
      <c r="L944" s="15">
        <v>0.66180555555555554</v>
      </c>
      <c r="M944" s="13" t="s">
        <v>19</v>
      </c>
      <c r="N944" s="13">
        <v>12.93</v>
      </c>
      <c r="O944" s="13">
        <v>250</v>
      </c>
      <c r="Q944" s="18">
        <v>43974</v>
      </c>
      <c r="R944" s="19">
        <v>0.74444444444444446</v>
      </c>
      <c r="S944" s="17" t="s">
        <v>31</v>
      </c>
      <c r="T944" s="17">
        <v>0.1</v>
      </c>
      <c r="U944" s="17">
        <v>20</v>
      </c>
    </row>
    <row r="945" spans="5:21" x14ac:dyDescent="0.25">
      <c r="E945" s="10">
        <v>44018</v>
      </c>
      <c r="F945" s="11">
        <v>0.78055555555555556</v>
      </c>
      <c r="G945" t="s">
        <v>16</v>
      </c>
      <c r="H945">
        <v>5.05</v>
      </c>
      <c r="I945">
        <v>770</v>
      </c>
      <c r="K945" s="14">
        <v>44181</v>
      </c>
      <c r="L945" s="15">
        <v>0.61736111111111114</v>
      </c>
      <c r="M945" s="13" t="s">
        <v>19</v>
      </c>
      <c r="N945" s="13">
        <v>13.11</v>
      </c>
      <c r="O945" s="13">
        <v>300</v>
      </c>
      <c r="Q945" s="18">
        <v>44014</v>
      </c>
      <c r="R945" s="19">
        <v>0.6875</v>
      </c>
      <c r="S945" s="17" t="s">
        <v>7</v>
      </c>
      <c r="T945" s="17">
        <v>0.62</v>
      </c>
      <c r="U945" s="17">
        <v>30</v>
      </c>
    </row>
    <row r="946" spans="5:21" x14ac:dyDescent="0.25">
      <c r="E946" s="10">
        <v>44022</v>
      </c>
      <c r="F946" s="11">
        <v>0.64930555555555558</v>
      </c>
      <c r="G946" t="s">
        <v>16</v>
      </c>
      <c r="H946">
        <v>14.81</v>
      </c>
      <c r="I946">
        <v>250</v>
      </c>
      <c r="K946" s="14">
        <v>44189</v>
      </c>
      <c r="L946" s="15">
        <v>0.73958333333333337</v>
      </c>
      <c r="M946" s="13" t="s">
        <v>19</v>
      </c>
      <c r="N946" s="13">
        <v>0.87</v>
      </c>
      <c r="O946" s="13">
        <v>60</v>
      </c>
      <c r="Q946" s="18">
        <v>43943</v>
      </c>
      <c r="R946" s="19">
        <v>0.66180555555555554</v>
      </c>
      <c r="S946" s="17" t="s">
        <v>33</v>
      </c>
      <c r="T946" s="17">
        <v>4.25</v>
      </c>
      <c r="U946" s="17">
        <v>400</v>
      </c>
    </row>
    <row r="947" spans="5:21" x14ac:dyDescent="0.25">
      <c r="E947" s="10">
        <v>44022</v>
      </c>
      <c r="F947" s="11">
        <v>0.77916666666666667</v>
      </c>
      <c r="G947" t="s">
        <v>16</v>
      </c>
      <c r="H947">
        <v>11.54</v>
      </c>
      <c r="I947">
        <v>500</v>
      </c>
      <c r="K947" s="14">
        <v>44189</v>
      </c>
      <c r="L947" s="15">
        <v>0.71944444444444444</v>
      </c>
      <c r="M947" s="13" t="s">
        <v>19</v>
      </c>
      <c r="N947" s="13">
        <v>4.12</v>
      </c>
      <c r="O947" s="13">
        <v>100</v>
      </c>
      <c r="Q947" s="18">
        <v>44001</v>
      </c>
      <c r="R947" s="19">
        <v>0.69444444444444453</v>
      </c>
      <c r="S947" s="17" t="s">
        <v>6</v>
      </c>
      <c r="T947" s="17">
        <v>0.71</v>
      </c>
      <c r="U947" s="17">
        <v>50</v>
      </c>
    </row>
    <row r="948" spans="5:21" x14ac:dyDescent="0.25">
      <c r="E948" s="10">
        <v>44035</v>
      </c>
      <c r="F948" s="11">
        <v>0.62291666666666667</v>
      </c>
      <c r="G948" t="s">
        <v>16</v>
      </c>
      <c r="H948">
        <v>0.05</v>
      </c>
      <c r="I948">
        <v>10</v>
      </c>
      <c r="K948" s="14">
        <v>44189</v>
      </c>
      <c r="L948" s="15">
        <v>0.74583333333333324</v>
      </c>
      <c r="M948" s="13" t="s">
        <v>19</v>
      </c>
      <c r="N948" s="13">
        <v>0.6</v>
      </c>
      <c r="O948" s="13">
        <v>100</v>
      </c>
      <c r="Q948" s="18">
        <v>44047</v>
      </c>
      <c r="R948" s="19">
        <v>0.4861111111111111</v>
      </c>
      <c r="S948" s="17" t="s">
        <v>38</v>
      </c>
      <c r="T948" s="17">
        <v>0.03</v>
      </c>
      <c r="U948" s="17">
        <v>25</v>
      </c>
    </row>
    <row r="949" spans="5:21" x14ac:dyDescent="0.25">
      <c r="E949" s="10">
        <v>44047</v>
      </c>
      <c r="F949" s="11">
        <v>0.73541666666666661</v>
      </c>
      <c r="G949" t="s">
        <v>16</v>
      </c>
      <c r="H949">
        <v>0.02</v>
      </c>
      <c r="I949">
        <v>10</v>
      </c>
      <c r="K949" s="14">
        <v>44047</v>
      </c>
      <c r="L949" s="15">
        <v>0.28819444444444448</v>
      </c>
      <c r="M949" s="13" t="s">
        <v>40</v>
      </c>
      <c r="N949" s="13">
        <v>35.78</v>
      </c>
      <c r="O949" s="13">
        <v>500</v>
      </c>
      <c r="Q949" s="18">
        <v>43933</v>
      </c>
      <c r="R949" s="19">
        <v>0.84444444444444444</v>
      </c>
      <c r="S949" s="17" t="s">
        <v>20</v>
      </c>
      <c r="T949" s="17">
        <v>0.77</v>
      </c>
      <c r="U949" s="17">
        <v>100</v>
      </c>
    </row>
    <row r="950" spans="5:21" x14ac:dyDescent="0.25">
      <c r="E950" s="10">
        <v>44047</v>
      </c>
      <c r="F950" s="11">
        <v>0.7284722222222223</v>
      </c>
      <c r="G950" t="s">
        <v>16</v>
      </c>
      <c r="H950">
        <v>0.02</v>
      </c>
      <c r="I950">
        <v>10</v>
      </c>
      <c r="K950" s="14">
        <v>44047</v>
      </c>
      <c r="L950" s="15">
        <v>0.2673611111111111</v>
      </c>
      <c r="M950" s="13" t="s">
        <v>40</v>
      </c>
      <c r="N950" s="13">
        <v>2.14</v>
      </c>
      <c r="O950" s="13">
        <v>400</v>
      </c>
      <c r="Q950" s="18">
        <v>43918</v>
      </c>
      <c r="R950" s="19">
        <v>0.63750000000000007</v>
      </c>
      <c r="S950" s="17" t="s">
        <v>29</v>
      </c>
      <c r="T950" s="17">
        <v>5.33</v>
      </c>
      <c r="U950" s="17">
        <v>200</v>
      </c>
    </row>
    <row r="951" spans="5:21" x14ac:dyDescent="0.25">
      <c r="E951" s="10">
        <v>44064</v>
      </c>
      <c r="F951" s="11">
        <v>0.62708333333333333</v>
      </c>
      <c r="G951" t="s">
        <v>16</v>
      </c>
      <c r="H951">
        <v>0.09</v>
      </c>
      <c r="I951">
        <v>10</v>
      </c>
      <c r="K951" s="14">
        <v>44047</v>
      </c>
      <c r="L951" s="15">
        <v>0.2673611111111111</v>
      </c>
      <c r="M951" s="13" t="s">
        <v>40</v>
      </c>
      <c r="N951" s="13">
        <v>2.98</v>
      </c>
      <c r="O951" s="13">
        <v>200</v>
      </c>
      <c r="Q951" s="18">
        <v>43967</v>
      </c>
      <c r="R951" s="19">
        <v>0.56666666666666665</v>
      </c>
      <c r="S951" s="17" t="s">
        <v>33</v>
      </c>
      <c r="T951" s="17">
        <v>1.25</v>
      </c>
      <c r="U951" s="17">
        <v>20</v>
      </c>
    </row>
    <row r="952" spans="5:21" x14ac:dyDescent="0.25">
      <c r="E952" s="10">
        <v>44070</v>
      </c>
      <c r="F952" s="11">
        <v>0.99722222222222223</v>
      </c>
      <c r="G952" t="s">
        <v>16</v>
      </c>
      <c r="H952">
        <v>2.83</v>
      </c>
      <c r="I952">
        <v>40</v>
      </c>
      <c r="K952" s="14">
        <v>44050</v>
      </c>
      <c r="L952" s="15">
        <v>0.65277777777777779</v>
      </c>
      <c r="M952" s="13" t="s">
        <v>40</v>
      </c>
      <c r="N952" s="13">
        <v>4.17</v>
      </c>
      <c r="O952" s="13">
        <v>450</v>
      </c>
      <c r="Q952" s="18">
        <v>43971</v>
      </c>
      <c r="R952" s="19">
        <v>0.88680555555555562</v>
      </c>
      <c r="S952" s="17" t="s">
        <v>41</v>
      </c>
      <c r="T952" s="17">
        <v>0.82</v>
      </c>
      <c r="U952" s="17">
        <v>50</v>
      </c>
    </row>
    <row r="953" spans="5:21" x14ac:dyDescent="0.25">
      <c r="E953" s="10">
        <v>44070</v>
      </c>
      <c r="F953" s="11">
        <v>0.99722222222222223</v>
      </c>
      <c r="G953" t="s">
        <v>16</v>
      </c>
      <c r="H953">
        <v>1.83</v>
      </c>
      <c r="I953">
        <v>40</v>
      </c>
      <c r="K953" s="14">
        <v>44045</v>
      </c>
      <c r="L953" s="15">
        <v>0.69166666666666676</v>
      </c>
      <c r="M953" s="13" t="s">
        <v>38</v>
      </c>
      <c r="N953" s="13">
        <v>0.5</v>
      </c>
      <c r="O953" s="13">
        <v>100</v>
      </c>
      <c r="Q953" s="18">
        <v>43918</v>
      </c>
      <c r="R953" s="19">
        <v>0.7006944444444444</v>
      </c>
      <c r="S953" s="17" t="s">
        <v>23</v>
      </c>
      <c r="T953" s="17">
        <v>2.06</v>
      </c>
      <c r="U953" s="17">
        <v>115</v>
      </c>
    </row>
    <row r="954" spans="5:21" x14ac:dyDescent="0.25">
      <c r="E954" s="10">
        <v>44071</v>
      </c>
      <c r="F954" s="11">
        <v>4.9305555555555554E-2</v>
      </c>
      <c r="G954" t="s">
        <v>16</v>
      </c>
      <c r="H954">
        <v>0.91</v>
      </c>
      <c r="I954">
        <v>40</v>
      </c>
      <c r="K954" s="14">
        <v>44045</v>
      </c>
      <c r="L954" s="15">
        <v>0.65</v>
      </c>
      <c r="M954" s="13" t="s">
        <v>38</v>
      </c>
      <c r="N954" s="13">
        <v>0.25</v>
      </c>
      <c r="O954" s="13">
        <v>30</v>
      </c>
      <c r="Q954" s="18">
        <v>43943</v>
      </c>
      <c r="R954" s="19">
        <v>0.87916666666666676</v>
      </c>
      <c r="S954" s="17" t="s">
        <v>26</v>
      </c>
      <c r="T954" s="17">
        <v>7.61</v>
      </c>
      <c r="U954" s="17">
        <v>1200</v>
      </c>
    </row>
    <row r="955" spans="5:21" x14ac:dyDescent="0.25">
      <c r="E955" s="10">
        <v>44071</v>
      </c>
      <c r="F955" s="11">
        <v>4.7916666666666663E-2</v>
      </c>
      <c r="G955" t="s">
        <v>16</v>
      </c>
      <c r="H955">
        <v>0.73</v>
      </c>
      <c r="I955">
        <v>30</v>
      </c>
      <c r="K955" s="14">
        <v>44045</v>
      </c>
      <c r="L955" s="15">
        <v>0.67013888888888884</v>
      </c>
      <c r="M955" s="13" t="s">
        <v>38</v>
      </c>
      <c r="N955" s="13">
        <v>1.7</v>
      </c>
      <c r="O955" s="13">
        <v>100</v>
      </c>
      <c r="Q955" s="18">
        <v>44046</v>
      </c>
      <c r="R955" s="19">
        <v>0.83263888888888893</v>
      </c>
      <c r="S955" s="17" t="s">
        <v>14</v>
      </c>
      <c r="T955" s="17">
        <v>1.48</v>
      </c>
      <c r="U955" s="17">
        <v>40</v>
      </c>
    </row>
    <row r="956" spans="5:21" x14ac:dyDescent="0.25">
      <c r="E956" s="10">
        <v>44071</v>
      </c>
      <c r="F956" s="11">
        <v>1.8749999999999999E-2</v>
      </c>
      <c r="G956" t="s">
        <v>16</v>
      </c>
      <c r="H956">
        <v>0.61</v>
      </c>
      <c r="I956">
        <v>25</v>
      </c>
      <c r="K956" s="14">
        <v>44047</v>
      </c>
      <c r="L956" s="15">
        <v>0.4861111111111111</v>
      </c>
      <c r="M956" s="13" t="s">
        <v>38</v>
      </c>
      <c r="N956" s="13">
        <v>0.03</v>
      </c>
      <c r="O956" s="13">
        <v>25</v>
      </c>
      <c r="Q956" s="18">
        <v>43978</v>
      </c>
      <c r="R956" s="19">
        <v>0.71388888888888891</v>
      </c>
      <c r="S956" s="17" t="s">
        <v>14</v>
      </c>
      <c r="T956" s="17">
        <v>0.17</v>
      </c>
      <c r="U956" s="17">
        <v>150</v>
      </c>
    </row>
    <row r="957" spans="5:21" x14ac:dyDescent="0.25">
      <c r="E957" s="10">
        <v>44071</v>
      </c>
      <c r="F957" s="11">
        <v>1.8055555555555557E-2</v>
      </c>
      <c r="G957" t="s">
        <v>16</v>
      </c>
      <c r="H957">
        <v>0.36</v>
      </c>
      <c r="I957">
        <v>25</v>
      </c>
      <c r="K957" s="14">
        <v>44070</v>
      </c>
      <c r="L957" s="15">
        <v>0.55833333333333335</v>
      </c>
      <c r="M957" s="13" t="s">
        <v>38</v>
      </c>
      <c r="N957" s="13">
        <v>0.51</v>
      </c>
      <c r="O957" s="13">
        <v>75</v>
      </c>
      <c r="Q957" s="18">
        <v>43934</v>
      </c>
      <c r="R957" s="19">
        <v>0.15486111111111112</v>
      </c>
      <c r="S957" s="17" t="s">
        <v>10</v>
      </c>
      <c r="T957" s="17">
        <v>35.68</v>
      </c>
      <c r="U957" s="17">
        <v>770</v>
      </c>
    </row>
    <row r="958" spans="5:21" x14ac:dyDescent="0.25">
      <c r="E958" s="10">
        <v>44071</v>
      </c>
      <c r="F958" s="11">
        <v>4.7916666666666663E-2</v>
      </c>
      <c r="G958" t="s">
        <v>16</v>
      </c>
      <c r="H958">
        <v>0.21</v>
      </c>
      <c r="I958">
        <v>20</v>
      </c>
      <c r="K958" s="14">
        <v>44070</v>
      </c>
      <c r="L958" s="15">
        <v>0.57847222222222217</v>
      </c>
      <c r="M958" s="13" t="s">
        <v>38</v>
      </c>
      <c r="N958" s="13">
        <v>11.1</v>
      </c>
      <c r="O958" s="13">
        <v>500</v>
      </c>
      <c r="Q958" s="18">
        <v>43841</v>
      </c>
      <c r="R958" s="19">
        <v>0.25277777777777777</v>
      </c>
      <c r="S958" s="17" t="s">
        <v>26</v>
      </c>
      <c r="T958" s="17">
        <v>1.2</v>
      </c>
      <c r="U958" s="17">
        <v>125</v>
      </c>
    </row>
    <row r="959" spans="5:21" x14ac:dyDescent="0.25">
      <c r="E959" s="10">
        <v>44071</v>
      </c>
      <c r="F959" s="11">
        <v>4.7222222222222221E-2</v>
      </c>
      <c r="G959" t="s">
        <v>16</v>
      </c>
      <c r="H959">
        <v>0.12</v>
      </c>
      <c r="I959">
        <v>50</v>
      </c>
      <c r="K959" s="14">
        <v>44070</v>
      </c>
      <c r="L959" s="15">
        <v>0.56666666666666665</v>
      </c>
      <c r="M959" s="13" t="s">
        <v>38</v>
      </c>
      <c r="N959" s="13">
        <v>0.06</v>
      </c>
      <c r="O959" s="13">
        <v>20</v>
      </c>
      <c r="Q959" s="18">
        <v>43933</v>
      </c>
      <c r="R959" s="19">
        <v>0.53194444444444444</v>
      </c>
      <c r="S959" s="17" t="s">
        <v>24</v>
      </c>
      <c r="T959" s="17">
        <v>2.33</v>
      </c>
      <c r="U959" s="17">
        <v>50</v>
      </c>
    </row>
    <row r="960" spans="5:21" x14ac:dyDescent="0.25">
      <c r="E960" s="10">
        <v>44073</v>
      </c>
      <c r="F960" s="11">
        <v>0.7104166666666667</v>
      </c>
      <c r="G960" t="s">
        <v>16</v>
      </c>
      <c r="H960">
        <v>1.6</v>
      </c>
      <c r="I960">
        <v>300</v>
      </c>
      <c r="K960" s="14">
        <v>43970</v>
      </c>
      <c r="L960" s="15">
        <v>0.84375</v>
      </c>
      <c r="M960" s="13" t="s">
        <v>7</v>
      </c>
      <c r="N960" s="13">
        <v>1</v>
      </c>
      <c r="O960" s="13">
        <v>20</v>
      </c>
      <c r="Q960" s="18">
        <v>43980</v>
      </c>
      <c r="R960" s="19">
        <v>0.66111111111111109</v>
      </c>
      <c r="S960" s="17" t="s">
        <v>36</v>
      </c>
      <c r="T960" s="17">
        <v>8.58</v>
      </c>
      <c r="U960" s="17">
        <v>433</v>
      </c>
    </row>
    <row r="961" spans="5:21" x14ac:dyDescent="0.25">
      <c r="E961" s="10">
        <v>43841</v>
      </c>
      <c r="F961" s="11">
        <v>0.70486111111111116</v>
      </c>
      <c r="G961" t="s">
        <v>21</v>
      </c>
      <c r="H961">
        <v>3.3</v>
      </c>
      <c r="I961">
        <v>30</v>
      </c>
      <c r="K961" s="14">
        <v>43971</v>
      </c>
      <c r="L961" s="15">
        <v>0.78194444444444444</v>
      </c>
      <c r="M961" s="13" t="s">
        <v>7</v>
      </c>
      <c r="N961" s="13">
        <v>4.8</v>
      </c>
      <c r="O961" s="13">
        <v>50</v>
      </c>
      <c r="Q961" s="18">
        <v>43928</v>
      </c>
      <c r="R961" s="19">
        <v>0.92361111111111116</v>
      </c>
      <c r="S961" s="17" t="s">
        <v>27</v>
      </c>
      <c r="T961" s="17">
        <v>15.74</v>
      </c>
      <c r="U961" s="17">
        <v>100</v>
      </c>
    </row>
    <row r="962" spans="5:21" x14ac:dyDescent="0.25">
      <c r="E962" s="10">
        <v>43841</v>
      </c>
      <c r="F962" s="11">
        <v>0.23333333333333331</v>
      </c>
      <c r="G962" t="s">
        <v>21</v>
      </c>
      <c r="H962">
        <v>1.98</v>
      </c>
      <c r="I962">
        <v>90</v>
      </c>
      <c r="K962" s="14">
        <v>43971</v>
      </c>
      <c r="L962" s="15">
        <v>0.80972222222222223</v>
      </c>
      <c r="M962" s="13" t="s">
        <v>7</v>
      </c>
      <c r="N962" s="13">
        <v>1.1499999999999999</v>
      </c>
      <c r="O962" s="13">
        <v>50</v>
      </c>
      <c r="Q962" s="18">
        <v>44046</v>
      </c>
      <c r="R962" s="19">
        <v>0.91805555555555562</v>
      </c>
      <c r="S962" s="17" t="s">
        <v>14</v>
      </c>
      <c r="T962" s="17">
        <v>0.17</v>
      </c>
      <c r="U962" s="17">
        <v>40</v>
      </c>
    </row>
    <row r="963" spans="5:21" x14ac:dyDescent="0.25">
      <c r="E963" s="10">
        <v>43841</v>
      </c>
      <c r="F963" s="11">
        <v>0.19305555555555554</v>
      </c>
      <c r="G963" t="s">
        <v>21</v>
      </c>
      <c r="H963">
        <v>1.86</v>
      </c>
      <c r="I963">
        <v>150</v>
      </c>
      <c r="K963" s="14">
        <v>43971</v>
      </c>
      <c r="L963" s="15">
        <v>0.77638888888888891</v>
      </c>
      <c r="M963" s="13" t="s">
        <v>7</v>
      </c>
      <c r="N963" s="13">
        <v>0.9</v>
      </c>
      <c r="O963" s="13">
        <v>50</v>
      </c>
      <c r="Q963" s="18">
        <v>43840</v>
      </c>
      <c r="R963" s="19">
        <v>0.89861111111111114</v>
      </c>
      <c r="S963" s="17" t="s">
        <v>6</v>
      </c>
      <c r="T963" s="17">
        <v>0.11</v>
      </c>
      <c r="U963" s="17">
        <v>100</v>
      </c>
    </row>
    <row r="964" spans="5:21" x14ac:dyDescent="0.25">
      <c r="E964" s="10">
        <v>43841</v>
      </c>
      <c r="F964" s="11">
        <v>0.24861111111111112</v>
      </c>
      <c r="G964" t="s">
        <v>21</v>
      </c>
      <c r="H964">
        <v>0.08</v>
      </c>
      <c r="I964">
        <v>75</v>
      </c>
      <c r="K964" s="14">
        <v>43971</v>
      </c>
      <c r="L964" s="15">
        <v>0.78125</v>
      </c>
      <c r="M964" s="13" t="s">
        <v>7</v>
      </c>
      <c r="N964" s="13">
        <v>4</v>
      </c>
      <c r="O964" s="13">
        <v>50</v>
      </c>
      <c r="Q964" s="18">
        <v>43934</v>
      </c>
      <c r="R964" s="19">
        <v>0.16527777777777777</v>
      </c>
      <c r="S964" s="17" t="s">
        <v>9</v>
      </c>
      <c r="T964" s="17">
        <v>5.9</v>
      </c>
      <c r="U964" s="17">
        <v>200</v>
      </c>
    </row>
    <row r="965" spans="5:21" x14ac:dyDescent="0.25">
      <c r="E965" s="10">
        <v>43866</v>
      </c>
      <c r="F965" s="11">
        <v>0.74722222222222223</v>
      </c>
      <c r="G965" t="s">
        <v>21</v>
      </c>
      <c r="H965">
        <v>10.51</v>
      </c>
      <c r="I965">
        <v>300</v>
      </c>
      <c r="K965" s="14">
        <v>43971</v>
      </c>
      <c r="L965" s="15">
        <v>0.77847222222222223</v>
      </c>
      <c r="M965" s="13" t="s">
        <v>7</v>
      </c>
      <c r="N965" s="13">
        <v>1.4</v>
      </c>
      <c r="O965" s="13">
        <v>50</v>
      </c>
      <c r="Q965" s="18">
        <v>43929</v>
      </c>
      <c r="R965" s="19">
        <v>0.8520833333333333</v>
      </c>
      <c r="S965" s="17" t="s">
        <v>11</v>
      </c>
      <c r="T965" s="17">
        <v>0.5</v>
      </c>
      <c r="U965" s="17">
        <v>50</v>
      </c>
    </row>
    <row r="966" spans="5:21" x14ac:dyDescent="0.25">
      <c r="E966" s="10">
        <v>43866</v>
      </c>
      <c r="F966" s="11">
        <v>0.78263888888888899</v>
      </c>
      <c r="G966" t="s">
        <v>21</v>
      </c>
      <c r="H966">
        <v>10.36</v>
      </c>
      <c r="I966">
        <v>50</v>
      </c>
      <c r="K966" s="14">
        <v>43971</v>
      </c>
      <c r="L966" s="15">
        <v>0.78888888888888886</v>
      </c>
      <c r="M966" s="13" t="s">
        <v>7</v>
      </c>
      <c r="N966" s="13">
        <v>8</v>
      </c>
      <c r="O966" s="13">
        <v>50</v>
      </c>
      <c r="Q966" s="18">
        <v>43841</v>
      </c>
      <c r="R966" s="19">
        <v>0.22291666666666665</v>
      </c>
      <c r="S966" s="17" t="s">
        <v>24</v>
      </c>
      <c r="T966" s="17">
        <v>5.85</v>
      </c>
      <c r="U966" s="17">
        <v>70</v>
      </c>
    </row>
    <row r="967" spans="5:21" x14ac:dyDescent="0.25">
      <c r="E967" s="10">
        <v>43866</v>
      </c>
      <c r="F967" s="11">
        <v>0.74652777777777779</v>
      </c>
      <c r="G967" t="s">
        <v>21</v>
      </c>
      <c r="H967">
        <v>10.050000000000001</v>
      </c>
      <c r="I967">
        <v>300</v>
      </c>
      <c r="K967" s="14">
        <v>43972</v>
      </c>
      <c r="L967" s="15">
        <v>0.67847222222222225</v>
      </c>
      <c r="M967" s="13" t="s">
        <v>7</v>
      </c>
      <c r="N967" s="13">
        <v>1</v>
      </c>
      <c r="O967" s="13">
        <v>25</v>
      </c>
      <c r="Q967" s="18">
        <v>43929</v>
      </c>
      <c r="R967" s="19">
        <v>0.85902777777777783</v>
      </c>
      <c r="S967" s="17" t="s">
        <v>27</v>
      </c>
      <c r="T967" s="17">
        <v>3.3</v>
      </c>
      <c r="U967" s="17">
        <v>350</v>
      </c>
    </row>
    <row r="968" spans="5:21" x14ac:dyDescent="0.25">
      <c r="E968" s="10">
        <v>43866</v>
      </c>
      <c r="F968" s="11">
        <v>0.83472222222222225</v>
      </c>
      <c r="G968" t="s">
        <v>21</v>
      </c>
      <c r="H968">
        <v>6.39</v>
      </c>
      <c r="I968">
        <v>250</v>
      </c>
      <c r="K968" s="14">
        <v>43972</v>
      </c>
      <c r="L968" s="15">
        <v>0.65763888888888888</v>
      </c>
      <c r="M968" s="13" t="s">
        <v>7</v>
      </c>
      <c r="N968" s="13">
        <v>2</v>
      </c>
      <c r="O968" s="13">
        <v>25</v>
      </c>
      <c r="Q968" s="18">
        <v>43973</v>
      </c>
      <c r="R968" s="19">
        <v>0.72638888888888886</v>
      </c>
      <c r="S968" s="17" t="s">
        <v>6</v>
      </c>
      <c r="T968" s="17">
        <v>0.2</v>
      </c>
      <c r="U968" s="17">
        <v>50</v>
      </c>
    </row>
    <row r="969" spans="5:21" x14ac:dyDescent="0.25">
      <c r="E969" s="10">
        <v>43866</v>
      </c>
      <c r="F969" s="11">
        <v>0.80763888888888891</v>
      </c>
      <c r="G969" t="s">
        <v>21</v>
      </c>
      <c r="H969">
        <v>6.34</v>
      </c>
      <c r="I969">
        <v>50</v>
      </c>
      <c r="K969" s="14">
        <v>43984</v>
      </c>
      <c r="L969" s="15">
        <v>0.56319444444444444</v>
      </c>
      <c r="M969" s="13" t="s">
        <v>7</v>
      </c>
      <c r="N969" s="13">
        <v>7.0000000000000007E-2</v>
      </c>
      <c r="O969" s="13">
        <v>30</v>
      </c>
      <c r="Q969" s="18">
        <v>43874</v>
      </c>
      <c r="R969" s="19">
        <v>0.17500000000000002</v>
      </c>
      <c r="S969" s="17" t="s">
        <v>20</v>
      </c>
      <c r="T969" s="17">
        <v>2.1</v>
      </c>
      <c r="U969" s="17">
        <v>300</v>
      </c>
    </row>
    <row r="970" spans="5:21" x14ac:dyDescent="0.25">
      <c r="E970" s="10">
        <v>43866</v>
      </c>
      <c r="F970" s="11">
        <v>0.82986111111111116</v>
      </c>
      <c r="G970" t="s">
        <v>21</v>
      </c>
      <c r="H970">
        <v>3.86</v>
      </c>
      <c r="I970">
        <v>200</v>
      </c>
      <c r="K970" s="14">
        <v>43984</v>
      </c>
      <c r="L970" s="15">
        <v>0.57777777777777783</v>
      </c>
      <c r="M970" s="13" t="s">
        <v>7</v>
      </c>
      <c r="N970" s="13">
        <v>0.48</v>
      </c>
      <c r="O970" s="13">
        <v>30</v>
      </c>
      <c r="Q970" s="18">
        <v>43933</v>
      </c>
      <c r="R970" s="19">
        <v>0.89374999999999993</v>
      </c>
      <c r="S970" s="17" t="s">
        <v>20</v>
      </c>
      <c r="T970" s="17">
        <v>3.8</v>
      </c>
      <c r="U970" s="17">
        <v>400</v>
      </c>
    </row>
    <row r="971" spans="5:21" x14ac:dyDescent="0.25">
      <c r="E971" s="10">
        <v>43873</v>
      </c>
      <c r="F971" s="11">
        <v>0.7270833333333333</v>
      </c>
      <c r="G971" t="s">
        <v>21</v>
      </c>
      <c r="H971">
        <v>1.89</v>
      </c>
      <c r="I971">
        <v>100</v>
      </c>
      <c r="K971" s="14">
        <v>43984</v>
      </c>
      <c r="L971" s="15">
        <v>0.59305555555555556</v>
      </c>
      <c r="M971" s="13" t="s">
        <v>7</v>
      </c>
      <c r="N971" s="13">
        <v>1.1100000000000001</v>
      </c>
      <c r="O971" s="13">
        <v>30</v>
      </c>
      <c r="Q971" s="18">
        <v>43841</v>
      </c>
      <c r="R971" s="19">
        <v>0.14166666666666666</v>
      </c>
      <c r="S971" s="17" t="s">
        <v>29</v>
      </c>
      <c r="T971" s="17">
        <v>0.81</v>
      </c>
      <c r="U971" s="17">
        <v>150</v>
      </c>
    </row>
    <row r="972" spans="5:21" x14ac:dyDescent="0.25">
      <c r="E972" s="10">
        <v>43892</v>
      </c>
      <c r="F972" s="11">
        <v>0.96180555555555547</v>
      </c>
      <c r="G972" t="s">
        <v>21</v>
      </c>
      <c r="H972">
        <v>18.72</v>
      </c>
      <c r="I972">
        <v>250</v>
      </c>
      <c r="K972" s="14">
        <v>43984</v>
      </c>
      <c r="L972" s="15">
        <v>0.56041666666666667</v>
      </c>
      <c r="M972" s="13" t="s">
        <v>7</v>
      </c>
      <c r="N972" s="13">
        <v>1.0900000000000001</v>
      </c>
      <c r="O972" s="13">
        <v>30</v>
      </c>
      <c r="Q972" s="18">
        <v>44047</v>
      </c>
      <c r="R972" s="19">
        <v>0.2673611111111111</v>
      </c>
      <c r="S972" s="17" t="s">
        <v>40</v>
      </c>
      <c r="T972" s="17">
        <v>2.98</v>
      </c>
      <c r="U972" s="17">
        <v>200</v>
      </c>
    </row>
    <row r="973" spans="5:21" x14ac:dyDescent="0.25">
      <c r="E973" s="10">
        <v>43892</v>
      </c>
      <c r="F973" s="11">
        <v>0.94513888888888886</v>
      </c>
      <c r="G973" t="s">
        <v>21</v>
      </c>
      <c r="H973">
        <v>14.8</v>
      </c>
      <c r="I973">
        <v>100</v>
      </c>
      <c r="K973" s="14">
        <v>43984</v>
      </c>
      <c r="L973" s="15">
        <v>0.55069444444444449</v>
      </c>
      <c r="M973" s="13" t="s">
        <v>7</v>
      </c>
      <c r="N973" s="13">
        <v>0.54</v>
      </c>
      <c r="O973" s="13">
        <v>30</v>
      </c>
      <c r="Q973" s="18">
        <v>44046</v>
      </c>
      <c r="R973" s="19">
        <v>0.76041666666666663</v>
      </c>
      <c r="S973" s="17" t="s">
        <v>14</v>
      </c>
      <c r="T973" s="17">
        <v>1.6</v>
      </c>
      <c r="U973" s="17">
        <v>20</v>
      </c>
    </row>
    <row r="974" spans="5:21" x14ac:dyDescent="0.25">
      <c r="E974" s="10">
        <v>43892</v>
      </c>
      <c r="F974" s="11">
        <v>0.92499999999999993</v>
      </c>
      <c r="G974" t="s">
        <v>21</v>
      </c>
      <c r="H974">
        <v>7.27</v>
      </c>
      <c r="I974">
        <v>100</v>
      </c>
      <c r="K974" s="14">
        <v>44014</v>
      </c>
      <c r="L974" s="15">
        <v>0.61111111111111105</v>
      </c>
      <c r="M974" s="13" t="s">
        <v>7</v>
      </c>
      <c r="N974" s="13">
        <v>0.49</v>
      </c>
      <c r="O974" s="13">
        <v>30</v>
      </c>
      <c r="Q974" s="18">
        <v>44052</v>
      </c>
      <c r="R974" s="19">
        <v>0.59722222222222221</v>
      </c>
      <c r="S974" s="17" t="s">
        <v>8</v>
      </c>
      <c r="T974" s="17">
        <v>0.25</v>
      </c>
      <c r="U974" s="17">
        <v>100</v>
      </c>
    </row>
    <row r="975" spans="5:21" x14ac:dyDescent="0.25">
      <c r="E975" s="10">
        <v>43892</v>
      </c>
      <c r="F975" s="11">
        <v>0.98749999999999993</v>
      </c>
      <c r="G975" t="s">
        <v>21</v>
      </c>
      <c r="H975">
        <v>4.8</v>
      </c>
      <c r="I975">
        <v>50</v>
      </c>
      <c r="K975" s="14">
        <v>44014</v>
      </c>
      <c r="L975" s="15">
        <v>0.53194444444444444</v>
      </c>
      <c r="M975" s="13" t="s">
        <v>7</v>
      </c>
      <c r="N975" s="13">
        <v>0.01</v>
      </c>
      <c r="O975" s="13">
        <v>50</v>
      </c>
      <c r="Q975" s="18">
        <v>43840</v>
      </c>
      <c r="R975" s="19">
        <v>0.98125000000000007</v>
      </c>
      <c r="S975" s="17" t="s">
        <v>6</v>
      </c>
      <c r="T975" s="17">
        <v>2.13</v>
      </c>
      <c r="U975" s="17">
        <v>160</v>
      </c>
    </row>
    <row r="976" spans="5:21" x14ac:dyDescent="0.25">
      <c r="E976" s="10">
        <v>43893</v>
      </c>
      <c r="F976" s="11">
        <v>2.2222222222222223E-2</v>
      </c>
      <c r="G976" t="s">
        <v>21</v>
      </c>
      <c r="H976">
        <v>60.13</v>
      </c>
      <c r="I976">
        <v>1600</v>
      </c>
      <c r="K976" s="14">
        <v>44014</v>
      </c>
      <c r="L976" s="15">
        <v>0.57361111111111118</v>
      </c>
      <c r="M976" s="13" t="s">
        <v>7</v>
      </c>
      <c r="N976" s="13">
        <v>0.01</v>
      </c>
      <c r="O976" s="13">
        <v>50</v>
      </c>
      <c r="Q976" s="18">
        <v>43918</v>
      </c>
      <c r="R976" s="19">
        <v>0.54097222222222219</v>
      </c>
      <c r="S976" s="17" t="s">
        <v>23</v>
      </c>
      <c r="T976" s="17">
        <v>7.47</v>
      </c>
      <c r="U976" s="17">
        <v>115</v>
      </c>
    </row>
    <row r="977" spans="5:21" x14ac:dyDescent="0.25">
      <c r="E977" s="10">
        <v>43893</v>
      </c>
      <c r="F977" s="11">
        <v>0.10069444444444443</v>
      </c>
      <c r="G977" t="s">
        <v>21</v>
      </c>
      <c r="H977">
        <v>10.07</v>
      </c>
      <c r="I977">
        <v>500</v>
      </c>
      <c r="K977" s="14">
        <v>44014</v>
      </c>
      <c r="L977" s="15">
        <v>0.59652777777777777</v>
      </c>
      <c r="M977" s="13" t="s">
        <v>7</v>
      </c>
      <c r="N977" s="13">
        <v>0.01</v>
      </c>
      <c r="O977" s="13">
        <v>50</v>
      </c>
      <c r="Q977" s="18">
        <v>44057</v>
      </c>
      <c r="R977" s="19">
        <v>0.60972222222222217</v>
      </c>
      <c r="S977" s="17" t="s">
        <v>8</v>
      </c>
      <c r="T977" s="17">
        <v>0.4</v>
      </c>
      <c r="U977" s="17">
        <v>30</v>
      </c>
    </row>
    <row r="978" spans="5:21" x14ac:dyDescent="0.25">
      <c r="E978" s="10">
        <v>43893</v>
      </c>
      <c r="F978" s="11">
        <v>7.4999999999999997E-2</v>
      </c>
      <c r="G978" t="s">
        <v>21</v>
      </c>
      <c r="H978">
        <v>8.39</v>
      </c>
      <c r="I978">
        <v>900</v>
      </c>
      <c r="K978" s="14">
        <v>44014</v>
      </c>
      <c r="L978" s="15">
        <v>0.56180555555555556</v>
      </c>
      <c r="M978" s="13" t="s">
        <v>7</v>
      </c>
      <c r="N978" s="13">
        <v>0.01</v>
      </c>
      <c r="O978" s="13">
        <v>50</v>
      </c>
      <c r="Q978" s="18">
        <v>43841</v>
      </c>
      <c r="R978" s="19">
        <v>2.0833333333333332E-2</v>
      </c>
      <c r="S978" s="17" t="s">
        <v>6</v>
      </c>
      <c r="T978" s="17">
        <v>3</v>
      </c>
      <c r="U978" s="17">
        <v>100</v>
      </c>
    </row>
    <row r="979" spans="5:21" x14ac:dyDescent="0.25">
      <c r="E979" s="10">
        <v>43893</v>
      </c>
      <c r="F979" s="11">
        <v>0.1111111111111111</v>
      </c>
      <c r="G979" t="s">
        <v>21</v>
      </c>
      <c r="H979">
        <v>3.68</v>
      </c>
      <c r="I979">
        <v>200</v>
      </c>
      <c r="K979" s="14">
        <v>44014</v>
      </c>
      <c r="L979" s="15">
        <v>0.6</v>
      </c>
      <c r="M979" s="13" t="s">
        <v>7</v>
      </c>
      <c r="N979" s="13">
        <v>0.01</v>
      </c>
      <c r="O979" s="13">
        <v>50</v>
      </c>
      <c r="Q979" s="18">
        <v>43934</v>
      </c>
      <c r="R979" s="19">
        <v>3.4027777777777775E-2</v>
      </c>
      <c r="S979" s="17" t="s">
        <v>9</v>
      </c>
      <c r="T979" s="17">
        <v>9.77</v>
      </c>
      <c r="U979" s="17">
        <v>200</v>
      </c>
    </row>
    <row r="980" spans="5:21" x14ac:dyDescent="0.25">
      <c r="E980" s="10">
        <v>43893</v>
      </c>
      <c r="F980" s="11">
        <v>6.805555555555555E-2</v>
      </c>
      <c r="G980" t="s">
        <v>21</v>
      </c>
      <c r="H980">
        <v>3.32</v>
      </c>
      <c r="I980">
        <v>50</v>
      </c>
      <c r="K980" s="14">
        <v>44014</v>
      </c>
      <c r="L980" s="15">
        <v>0.6875</v>
      </c>
      <c r="M980" s="13" t="s">
        <v>7</v>
      </c>
      <c r="N980" s="13">
        <v>0.62</v>
      </c>
      <c r="O980" s="13">
        <v>30</v>
      </c>
      <c r="Q980" s="18">
        <v>43918</v>
      </c>
      <c r="R980" s="19">
        <v>0.69374999999999998</v>
      </c>
      <c r="S980" s="17" t="s">
        <v>23</v>
      </c>
      <c r="T980" s="17">
        <v>2.3199999999999998</v>
      </c>
      <c r="U980" s="17">
        <v>40</v>
      </c>
    </row>
    <row r="981" spans="5:21" x14ac:dyDescent="0.25">
      <c r="E981" s="10">
        <v>43893</v>
      </c>
      <c r="F981" s="11">
        <v>8.6805555555555566E-2</v>
      </c>
      <c r="G981" t="s">
        <v>21</v>
      </c>
      <c r="H981">
        <v>0.23</v>
      </c>
      <c r="I981">
        <v>25</v>
      </c>
      <c r="K981" s="14">
        <v>44020</v>
      </c>
      <c r="L981" s="15">
        <v>0.74930555555555556</v>
      </c>
      <c r="M981" s="13" t="s">
        <v>7</v>
      </c>
      <c r="N981" s="13">
        <v>0.01</v>
      </c>
      <c r="O981" s="13">
        <v>50</v>
      </c>
      <c r="Q981" s="18">
        <v>43918</v>
      </c>
      <c r="R981" s="19">
        <v>0.83194444444444438</v>
      </c>
      <c r="S981" s="17" t="s">
        <v>15</v>
      </c>
      <c r="T981" s="17">
        <v>3.27</v>
      </c>
      <c r="U981" s="17">
        <v>50</v>
      </c>
    </row>
    <row r="982" spans="5:21" x14ac:dyDescent="0.25">
      <c r="E982" s="10">
        <v>43914</v>
      </c>
      <c r="F982" s="11">
        <v>0.76111111111111107</v>
      </c>
      <c r="G982" t="s">
        <v>21</v>
      </c>
      <c r="H982">
        <v>4.76</v>
      </c>
      <c r="I982">
        <v>175</v>
      </c>
      <c r="K982" s="14">
        <v>44020</v>
      </c>
      <c r="L982" s="15">
        <v>0.75694444444444453</v>
      </c>
      <c r="M982" s="13" t="s">
        <v>7</v>
      </c>
      <c r="N982" s="13">
        <v>0.01</v>
      </c>
      <c r="O982" s="13">
        <v>50</v>
      </c>
      <c r="Q982" s="18">
        <v>43944</v>
      </c>
      <c r="R982" s="19">
        <v>0.70416666666666661</v>
      </c>
      <c r="S982" s="17" t="s">
        <v>19</v>
      </c>
      <c r="T982" s="17">
        <v>3.85</v>
      </c>
      <c r="U982" s="17">
        <v>100</v>
      </c>
    </row>
    <row r="983" spans="5:21" x14ac:dyDescent="0.25">
      <c r="E983" s="10">
        <v>43919</v>
      </c>
      <c r="F983" s="11">
        <v>6.1805555555555558E-2</v>
      </c>
      <c r="G983" t="s">
        <v>21</v>
      </c>
      <c r="H983">
        <v>6.9</v>
      </c>
      <c r="I983">
        <v>75</v>
      </c>
      <c r="K983" s="14">
        <v>44020</v>
      </c>
      <c r="L983" s="15">
        <v>0.75277777777777777</v>
      </c>
      <c r="M983" s="13" t="s">
        <v>7</v>
      </c>
      <c r="N983" s="13">
        <v>0.01</v>
      </c>
      <c r="O983" s="13">
        <v>50</v>
      </c>
      <c r="Q983" s="18">
        <v>43929</v>
      </c>
      <c r="R983" s="19">
        <v>0.83888888888888891</v>
      </c>
      <c r="S983" s="17" t="s">
        <v>22</v>
      </c>
      <c r="T983" s="17">
        <v>2.6</v>
      </c>
      <c r="U983" s="17">
        <v>220</v>
      </c>
    </row>
    <row r="984" spans="5:21" x14ac:dyDescent="0.25">
      <c r="E984" s="10">
        <v>43933</v>
      </c>
      <c r="F984" s="11">
        <v>0.8881944444444444</v>
      </c>
      <c r="G984" t="s">
        <v>21</v>
      </c>
      <c r="H984">
        <v>14.41</v>
      </c>
      <c r="I984">
        <v>1500</v>
      </c>
      <c r="K984" s="14">
        <v>44020</v>
      </c>
      <c r="L984" s="15">
        <v>0.75277777777777777</v>
      </c>
      <c r="M984" s="13" t="s">
        <v>7</v>
      </c>
      <c r="N984" s="13">
        <v>0.01</v>
      </c>
      <c r="O984" s="13">
        <v>50</v>
      </c>
      <c r="Q984" s="18">
        <v>44047</v>
      </c>
      <c r="R984" s="19">
        <v>0.23124999999999998</v>
      </c>
      <c r="S984" s="17" t="s">
        <v>18</v>
      </c>
      <c r="T984" s="17">
        <v>3.01</v>
      </c>
      <c r="U984" s="17">
        <v>100</v>
      </c>
    </row>
    <row r="985" spans="5:21" x14ac:dyDescent="0.25">
      <c r="E985" s="10">
        <v>43933</v>
      </c>
      <c r="F985" s="11">
        <v>0.90972222222222221</v>
      </c>
      <c r="G985" t="s">
        <v>21</v>
      </c>
      <c r="H985">
        <v>5.09</v>
      </c>
      <c r="I985">
        <v>500</v>
      </c>
      <c r="K985" s="14">
        <v>44020</v>
      </c>
      <c r="L985" s="15">
        <v>0.74236111111111114</v>
      </c>
      <c r="M985" s="13" t="s">
        <v>7</v>
      </c>
      <c r="N985" s="13">
        <v>0.01</v>
      </c>
      <c r="O985" s="13">
        <v>50</v>
      </c>
      <c r="Q985" s="18">
        <v>43988</v>
      </c>
      <c r="R985" s="19">
        <v>0.72222222222222221</v>
      </c>
      <c r="S985" s="17" t="s">
        <v>19</v>
      </c>
      <c r="T985" s="17">
        <v>5.12</v>
      </c>
      <c r="U985" s="17">
        <v>500</v>
      </c>
    </row>
    <row r="986" spans="5:21" x14ac:dyDescent="0.25">
      <c r="E986" s="10">
        <v>43933</v>
      </c>
      <c r="F986" s="11">
        <v>0.91319444444444453</v>
      </c>
      <c r="G986" t="s">
        <v>21</v>
      </c>
      <c r="H986">
        <v>4.7300000000000004</v>
      </c>
      <c r="I986">
        <v>500</v>
      </c>
      <c r="K986" s="14">
        <v>44020</v>
      </c>
      <c r="L986" s="15">
        <v>0.7631944444444444</v>
      </c>
      <c r="M986" s="13" t="s">
        <v>7</v>
      </c>
      <c r="N986" s="13">
        <v>0.01</v>
      </c>
      <c r="O986" s="13">
        <v>50</v>
      </c>
      <c r="Q986" s="18">
        <v>43934</v>
      </c>
      <c r="R986" s="19">
        <v>0.12013888888888889</v>
      </c>
      <c r="S986" s="17" t="s">
        <v>9</v>
      </c>
      <c r="T986" s="17">
        <v>16.489999999999998</v>
      </c>
      <c r="U986" s="17">
        <v>700</v>
      </c>
    </row>
    <row r="987" spans="5:21" x14ac:dyDescent="0.25">
      <c r="E987" s="10">
        <v>43933</v>
      </c>
      <c r="F987" s="11">
        <v>0.90625</v>
      </c>
      <c r="G987" t="s">
        <v>21</v>
      </c>
      <c r="H987">
        <v>3.04</v>
      </c>
      <c r="I987">
        <v>500</v>
      </c>
      <c r="K987" s="14">
        <v>44024</v>
      </c>
      <c r="L987" s="15">
        <v>0.74305555555555547</v>
      </c>
      <c r="M987" s="13" t="s">
        <v>7</v>
      </c>
      <c r="N987" s="13">
        <v>1.52</v>
      </c>
      <c r="O987" s="13">
        <v>75</v>
      </c>
      <c r="Q987" s="18">
        <v>44073</v>
      </c>
      <c r="R987" s="19">
        <v>0.7104166666666667</v>
      </c>
      <c r="S987" s="17" t="s">
        <v>16</v>
      </c>
      <c r="T987" s="17">
        <v>1.6</v>
      </c>
      <c r="U987" s="17">
        <v>300</v>
      </c>
    </row>
    <row r="988" spans="5:21" x14ac:dyDescent="0.25">
      <c r="E988" s="10">
        <v>43946</v>
      </c>
      <c r="F988" s="11">
        <v>0.65625</v>
      </c>
      <c r="G988" t="s">
        <v>21</v>
      </c>
      <c r="H988">
        <v>3.81</v>
      </c>
      <c r="I988">
        <v>100</v>
      </c>
      <c r="K988" s="14">
        <v>44026</v>
      </c>
      <c r="L988" s="15">
        <v>0.79166666666666663</v>
      </c>
      <c r="M988" s="13" t="s">
        <v>7</v>
      </c>
      <c r="N988" s="13">
        <v>2.33</v>
      </c>
      <c r="O988" s="13">
        <v>50</v>
      </c>
      <c r="Q988" s="18">
        <v>43841</v>
      </c>
      <c r="R988" s="19">
        <v>0.3034722222222222</v>
      </c>
      <c r="S988" s="17" t="s">
        <v>24</v>
      </c>
      <c r="T988" s="17">
        <v>0.72</v>
      </c>
      <c r="U988" s="17">
        <v>80</v>
      </c>
    </row>
    <row r="989" spans="5:21" x14ac:dyDescent="0.25">
      <c r="E989" s="10">
        <v>43955</v>
      </c>
      <c r="F989" s="11">
        <v>0.86805555555555547</v>
      </c>
      <c r="G989" t="s">
        <v>21</v>
      </c>
      <c r="H989">
        <v>1.05</v>
      </c>
      <c r="I989">
        <v>100</v>
      </c>
      <c r="K989" s="14">
        <v>44031</v>
      </c>
      <c r="L989" s="15">
        <v>0.77013888888888893</v>
      </c>
      <c r="M989" s="13" t="s">
        <v>7</v>
      </c>
      <c r="N989" s="13">
        <v>0.01</v>
      </c>
      <c r="O989" s="13">
        <v>50</v>
      </c>
      <c r="Q989" s="18">
        <v>43867</v>
      </c>
      <c r="R989" s="19">
        <v>8.1250000000000003E-2</v>
      </c>
      <c r="S989" s="17" t="s">
        <v>20</v>
      </c>
      <c r="T989" s="17">
        <v>9.91</v>
      </c>
      <c r="U989" s="17">
        <v>700</v>
      </c>
    </row>
    <row r="990" spans="5:21" x14ac:dyDescent="0.25">
      <c r="E990" s="10">
        <v>43986</v>
      </c>
      <c r="F990" s="11">
        <v>0.74375000000000002</v>
      </c>
      <c r="G990" t="s">
        <v>21</v>
      </c>
      <c r="H990">
        <v>15.08</v>
      </c>
      <c r="I990">
        <v>90</v>
      </c>
      <c r="K990" s="14">
        <v>44047</v>
      </c>
      <c r="L990" s="15">
        <v>0.8305555555555556</v>
      </c>
      <c r="M990" s="13" t="s">
        <v>7</v>
      </c>
      <c r="N990" s="13">
        <v>0.01</v>
      </c>
      <c r="O990" s="13">
        <v>50</v>
      </c>
      <c r="Q990" s="18">
        <v>43934</v>
      </c>
      <c r="R990" s="19">
        <v>0.16944444444444443</v>
      </c>
      <c r="S990" s="17" t="s">
        <v>10</v>
      </c>
      <c r="T990" s="17">
        <v>5.85</v>
      </c>
      <c r="U990" s="17">
        <v>300</v>
      </c>
    </row>
    <row r="991" spans="5:21" x14ac:dyDescent="0.25">
      <c r="E991" s="10">
        <v>43986</v>
      </c>
      <c r="F991" s="11">
        <v>0.6972222222222223</v>
      </c>
      <c r="G991" t="s">
        <v>21</v>
      </c>
      <c r="H991">
        <v>1.91</v>
      </c>
      <c r="I991">
        <v>60</v>
      </c>
      <c r="K991" s="14">
        <v>44058</v>
      </c>
      <c r="L991" s="15">
        <v>0.74097222222222225</v>
      </c>
      <c r="M991" s="13" t="s">
        <v>7</v>
      </c>
      <c r="N991" s="13">
        <v>0.01</v>
      </c>
      <c r="O991" s="13">
        <v>50</v>
      </c>
      <c r="Q991" s="18">
        <v>43944</v>
      </c>
      <c r="R991" s="19">
        <v>0.63124999999999998</v>
      </c>
      <c r="S991" s="17" t="s">
        <v>19</v>
      </c>
      <c r="T991" s="17">
        <v>0.9</v>
      </c>
      <c r="U991" s="17">
        <v>50</v>
      </c>
    </row>
    <row r="992" spans="5:21" x14ac:dyDescent="0.25">
      <c r="E992" s="10">
        <v>44071</v>
      </c>
      <c r="F992" s="11">
        <v>0.76666666666666661</v>
      </c>
      <c r="G992" t="s">
        <v>21</v>
      </c>
      <c r="H992">
        <v>2.38</v>
      </c>
      <c r="I992">
        <v>50</v>
      </c>
      <c r="K992" s="14">
        <v>44058</v>
      </c>
      <c r="L992" s="15">
        <v>0.73125000000000007</v>
      </c>
      <c r="M992" s="13" t="s">
        <v>7</v>
      </c>
      <c r="N992" s="13">
        <v>0.01</v>
      </c>
      <c r="O992" s="13">
        <v>50</v>
      </c>
      <c r="Q992" s="18">
        <v>43893</v>
      </c>
      <c r="R992" s="19">
        <v>8.6805555555555566E-2</v>
      </c>
      <c r="S992" s="17" t="s">
        <v>21</v>
      </c>
      <c r="T992" s="17">
        <v>0.23</v>
      </c>
      <c r="U992" s="17">
        <v>25</v>
      </c>
    </row>
    <row r="993" spans="5:21" x14ac:dyDescent="0.25">
      <c r="E993" s="10">
        <v>44071</v>
      </c>
      <c r="F993" s="11">
        <v>0.68611111111111101</v>
      </c>
      <c r="G993" t="s">
        <v>21</v>
      </c>
      <c r="H993">
        <v>1.53</v>
      </c>
      <c r="I993">
        <v>65</v>
      </c>
      <c r="K993" s="14">
        <v>44058</v>
      </c>
      <c r="L993" s="15">
        <v>0.74444444444444446</v>
      </c>
      <c r="M993" s="13" t="s">
        <v>7</v>
      </c>
      <c r="N993" s="13">
        <v>0.01</v>
      </c>
      <c r="O993" s="13">
        <v>50</v>
      </c>
      <c r="Q993" s="18">
        <v>43945</v>
      </c>
      <c r="R993" s="19">
        <v>0.83958333333333324</v>
      </c>
      <c r="S993" s="17" t="s">
        <v>29</v>
      </c>
      <c r="T993" s="17">
        <v>0.5</v>
      </c>
      <c r="U993" s="17">
        <v>75</v>
      </c>
    </row>
    <row r="994" spans="5:21" x14ac:dyDescent="0.25">
      <c r="E994" s="10">
        <v>44075</v>
      </c>
      <c r="F994" s="11">
        <v>0.64444444444444449</v>
      </c>
      <c r="G994" t="s">
        <v>21</v>
      </c>
      <c r="H994">
        <v>2.8</v>
      </c>
      <c r="I994">
        <v>25</v>
      </c>
      <c r="K994" s="14">
        <v>44059</v>
      </c>
      <c r="L994" s="15">
        <v>0.78125</v>
      </c>
      <c r="M994" s="13" t="s">
        <v>7</v>
      </c>
      <c r="N994" s="13">
        <v>0.1</v>
      </c>
      <c r="O994" s="13">
        <v>10</v>
      </c>
      <c r="Q994" s="18">
        <v>44072</v>
      </c>
      <c r="R994" s="19">
        <v>0.7055555555555556</v>
      </c>
      <c r="S994" s="17" t="s">
        <v>36</v>
      </c>
      <c r="T994" s="17">
        <v>0.47</v>
      </c>
      <c r="U994" s="17">
        <v>100</v>
      </c>
    </row>
    <row r="995" spans="5:21" x14ac:dyDescent="0.25">
      <c r="E995" s="10">
        <v>44075</v>
      </c>
      <c r="F995" s="11">
        <v>0.68333333333333324</v>
      </c>
      <c r="G995" t="s">
        <v>21</v>
      </c>
      <c r="H995">
        <v>2.1</v>
      </c>
      <c r="I995">
        <v>50</v>
      </c>
      <c r="K995" s="14">
        <v>43969</v>
      </c>
      <c r="L995" s="15">
        <v>0.55625000000000002</v>
      </c>
      <c r="M995" s="13" t="s">
        <v>25</v>
      </c>
      <c r="N995" s="13">
        <v>0.1</v>
      </c>
      <c r="O995" s="13">
        <v>20</v>
      </c>
      <c r="Q995" s="18">
        <v>44127</v>
      </c>
      <c r="R995" s="19">
        <v>0.59583333333333333</v>
      </c>
      <c r="S995" s="17" t="s">
        <v>11</v>
      </c>
      <c r="T995" s="17">
        <v>0.35</v>
      </c>
      <c r="U995" s="17">
        <v>30</v>
      </c>
    </row>
    <row r="996" spans="5:21" x14ac:dyDescent="0.25">
      <c r="E996" s="10">
        <v>43840</v>
      </c>
      <c r="F996" s="11">
        <v>0.98819444444444438</v>
      </c>
      <c r="G996" t="s">
        <v>6</v>
      </c>
      <c r="H996">
        <v>4.24</v>
      </c>
      <c r="I996">
        <v>500</v>
      </c>
      <c r="K996" s="14">
        <v>44057</v>
      </c>
      <c r="L996" s="15">
        <v>0.60416666666666663</v>
      </c>
      <c r="M996" s="13" t="s">
        <v>25</v>
      </c>
      <c r="N996" s="13">
        <v>0.43</v>
      </c>
      <c r="O996" s="13">
        <v>137</v>
      </c>
      <c r="Q996" s="18">
        <v>43867</v>
      </c>
      <c r="R996" s="19">
        <v>0.4548611111111111</v>
      </c>
      <c r="S996" s="17" t="s">
        <v>14</v>
      </c>
      <c r="T996" s="17">
        <v>1.52</v>
      </c>
      <c r="U996" s="17">
        <v>50</v>
      </c>
    </row>
    <row r="997" spans="5:21" x14ac:dyDescent="0.25">
      <c r="E997" s="10">
        <v>43840</v>
      </c>
      <c r="F997" s="11">
        <v>0.98125000000000007</v>
      </c>
      <c r="G997" t="s">
        <v>6</v>
      </c>
      <c r="H997">
        <v>2.13</v>
      </c>
      <c r="I997">
        <v>160</v>
      </c>
      <c r="K997" s="14">
        <v>44058</v>
      </c>
      <c r="L997" s="15">
        <v>0.65347222222222223</v>
      </c>
      <c r="M997" s="13" t="s">
        <v>25</v>
      </c>
      <c r="N997" s="13">
        <v>3.16</v>
      </c>
      <c r="O997" s="13">
        <v>156</v>
      </c>
      <c r="Q997" s="18">
        <v>43834</v>
      </c>
      <c r="R997" s="19">
        <v>0.39513888888888887</v>
      </c>
      <c r="S997" s="17" t="s">
        <v>19</v>
      </c>
      <c r="T997" s="17">
        <v>2.38</v>
      </c>
      <c r="U997" s="17">
        <v>175</v>
      </c>
    </row>
    <row r="998" spans="5:21" x14ac:dyDescent="0.25">
      <c r="E998" s="10">
        <v>43840</v>
      </c>
      <c r="F998" s="11">
        <v>0.77916666666666667</v>
      </c>
      <c r="G998" t="s">
        <v>6</v>
      </c>
      <c r="H998">
        <v>1.1000000000000001</v>
      </c>
      <c r="I998">
        <v>175</v>
      </c>
      <c r="K998" s="14">
        <v>44058</v>
      </c>
      <c r="L998" s="15">
        <v>0.62777777777777777</v>
      </c>
      <c r="M998" s="13" t="s">
        <v>25</v>
      </c>
      <c r="N998" s="13">
        <v>0.09</v>
      </c>
      <c r="O998" s="13">
        <v>20</v>
      </c>
      <c r="Q998" s="18">
        <v>43921</v>
      </c>
      <c r="R998" s="19">
        <v>0.64583333333333337</v>
      </c>
      <c r="S998" s="17" t="s">
        <v>46</v>
      </c>
      <c r="T998" s="17">
        <v>0.1</v>
      </c>
      <c r="U998" s="17">
        <v>20</v>
      </c>
    </row>
    <row r="999" spans="5:21" x14ac:dyDescent="0.25">
      <c r="E999" s="10">
        <v>43840</v>
      </c>
      <c r="F999" s="11">
        <v>0.7368055555555556</v>
      </c>
      <c r="G999" t="s">
        <v>6</v>
      </c>
      <c r="H999">
        <v>1.05</v>
      </c>
      <c r="I999">
        <v>250</v>
      </c>
      <c r="K999" s="14">
        <v>44079</v>
      </c>
      <c r="L999" s="15">
        <v>0.67847222222222225</v>
      </c>
      <c r="M999" s="13" t="s">
        <v>25</v>
      </c>
      <c r="N999" s="13">
        <v>12.02</v>
      </c>
      <c r="O999" s="13">
        <v>50</v>
      </c>
      <c r="Q999" s="18">
        <v>44079</v>
      </c>
      <c r="R999" s="19">
        <v>0.77013888888888893</v>
      </c>
      <c r="S999" s="17" t="s">
        <v>25</v>
      </c>
      <c r="T999" s="17">
        <v>1.1200000000000001</v>
      </c>
      <c r="U999" s="17">
        <v>25</v>
      </c>
    </row>
    <row r="1000" spans="5:21" x14ac:dyDescent="0.25">
      <c r="E1000" s="10">
        <v>43840</v>
      </c>
      <c r="F1000" s="11">
        <v>0.97291666666666676</v>
      </c>
      <c r="G1000" t="s">
        <v>6</v>
      </c>
      <c r="H1000">
        <v>0.8</v>
      </c>
      <c r="I1000">
        <v>75</v>
      </c>
      <c r="K1000" s="14">
        <v>44079</v>
      </c>
      <c r="L1000" s="15">
        <v>0.77013888888888893</v>
      </c>
      <c r="M1000" s="13" t="s">
        <v>25</v>
      </c>
      <c r="N1000" s="13">
        <v>1.1200000000000001</v>
      </c>
      <c r="O1000" s="13">
        <v>25</v>
      </c>
      <c r="Q1000" s="18">
        <v>44053</v>
      </c>
      <c r="R1000" s="19">
        <v>0.62847222222222221</v>
      </c>
      <c r="S1000" s="17" t="s">
        <v>36</v>
      </c>
      <c r="T1000" s="17">
        <v>1.5</v>
      </c>
      <c r="U1000" s="17">
        <v>100</v>
      </c>
    </row>
    <row r="1001" spans="5:21" x14ac:dyDescent="0.25">
      <c r="E1001" s="10">
        <v>43840</v>
      </c>
      <c r="F1001" s="11">
        <v>0.76041666666666663</v>
      </c>
      <c r="G1001" t="s">
        <v>6</v>
      </c>
      <c r="H1001">
        <v>0.45</v>
      </c>
      <c r="I1001">
        <v>150</v>
      </c>
      <c r="K1001" s="14">
        <v>44153</v>
      </c>
      <c r="L1001" s="15">
        <v>0.72916666666666663</v>
      </c>
      <c r="M1001" s="13" t="s">
        <v>25</v>
      </c>
      <c r="N1001" s="13">
        <v>4.3899999999999997</v>
      </c>
      <c r="O1001" s="13">
        <v>2</v>
      </c>
      <c r="Q1001" s="18">
        <v>43934</v>
      </c>
      <c r="R1001" s="19">
        <v>0.24374999999999999</v>
      </c>
      <c r="S1001" s="17" t="s">
        <v>10</v>
      </c>
      <c r="T1001" s="17">
        <v>0.93</v>
      </c>
      <c r="U1001" s="17">
        <v>200</v>
      </c>
    </row>
    <row r="1002" spans="5:21" x14ac:dyDescent="0.25">
      <c r="E1002" s="10">
        <v>43840</v>
      </c>
      <c r="F1002" s="11">
        <v>0.61527777777777781</v>
      </c>
      <c r="G1002" t="s">
        <v>6</v>
      </c>
      <c r="H1002">
        <v>0.4</v>
      </c>
      <c r="I1002">
        <v>75</v>
      </c>
      <c r="K1002" s="14">
        <v>44153</v>
      </c>
      <c r="L1002" s="15">
        <v>0.66319444444444442</v>
      </c>
      <c r="M1002" s="13" t="s">
        <v>25</v>
      </c>
      <c r="N1002" s="13">
        <v>0.47</v>
      </c>
      <c r="O1002" s="13">
        <v>3</v>
      </c>
      <c r="Q1002" s="18">
        <v>43977</v>
      </c>
      <c r="R1002" s="19">
        <v>0.55694444444444446</v>
      </c>
      <c r="S1002" s="17" t="s">
        <v>23</v>
      </c>
      <c r="T1002" s="17">
        <v>0.21</v>
      </c>
      <c r="U1002" s="17">
        <v>20</v>
      </c>
    </row>
    <row r="1003" spans="5:21" x14ac:dyDescent="0.25">
      <c r="E1003" s="10">
        <v>43840</v>
      </c>
      <c r="F1003" s="11">
        <v>0.99513888888888891</v>
      </c>
      <c r="G1003" t="s">
        <v>6</v>
      </c>
      <c r="H1003">
        <v>0.31</v>
      </c>
      <c r="I1003">
        <v>150</v>
      </c>
      <c r="K1003" s="14">
        <v>44036</v>
      </c>
      <c r="L1003" s="15">
        <v>0.70833333333333337</v>
      </c>
      <c r="M1003" s="13" t="s">
        <v>30</v>
      </c>
      <c r="N1003" s="13">
        <v>0.36</v>
      </c>
      <c r="O1003" s="13">
        <v>50</v>
      </c>
      <c r="Q1003" s="18">
        <v>44091</v>
      </c>
      <c r="R1003" s="19">
        <v>0.24930555555555556</v>
      </c>
      <c r="S1003" s="17" t="s">
        <v>10</v>
      </c>
      <c r="T1003" s="17">
        <v>2.5</v>
      </c>
      <c r="U1003" s="17">
        <v>100</v>
      </c>
    </row>
    <row r="1004" spans="5:21" x14ac:dyDescent="0.25">
      <c r="E1004" s="10">
        <v>43840</v>
      </c>
      <c r="F1004" s="11">
        <v>0.76527777777777783</v>
      </c>
      <c r="G1004" t="s">
        <v>6</v>
      </c>
      <c r="H1004">
        <v>0.14000000000000001</v>
      </c>
      <c r="I1004">
        <v>100</v>
      </c>
      <c r="K1004" s="14">
        <v>44036</v>
      </c>
      <c r="L1004" s="15">
        <v>0.49652777777777773</v>
      </c>
      <c r="M1004" s="13" t="s">
        <v>30</v>
      </c>
      <c r="N1004" s="13">
        <v>0.98</v>
      </c>
      <c r="O1004" s="13">
        <v>50</v>
      </c>
      <c r="Q1004" s="18">
        <v>43933</v>
      </c>
      <c r="R1004" s="19">
        <v>0.82708333333333339</v>
      </c>
      <c r="S1004" s="17" t="s">
        <v>20</v>
      </c>
      <c r="T1004" s="17">
        <v>2.97</v>
      </c>
      <c r="U1004" s="17">
        <v>200</v>
      </c>
    </row>
    <row r="1005" spans="5:21" x14ac:dyDescent="0.25">
      <c r="E1005" s="10">
        <v>43840</v>
      </c>
      <c r="F1005" s="11">
        <v>0.89861111111111114</v>
      </c>
      <c r="G1005" t="s">
        <v>6</v>
      </c>
      <c r="H1005">
        <v>0.11</v>
      </c>
      <c r="I1005">
        <v>100</v>
      </c>
      <c r="K1005" s="14">
        <v>43840</v>
      </c>
      <c r="L1005" s="15">
        <v>0.82291666666666663</v>
      </c>
      <c r="M1005" s="13" t="s">
        <v>29</v>
      </c>
      <c r="N1005" s="13">
        <v>3.9</v>
      </c>
      <c r="O1005" s="13">
        <v>400</v>
      </c>
      <c r="Q1005" s="18">
        <v>44053</v>
      </c>
      <c r="R1005" s="19">
        <v>0.48055555555555557</v>
      </c>
      <c r="S1005" s="17" t="s">
        <v>32</v>
      </c>
      <c r="T1005" s="17">
        <v>0.55000000000000004</v>
      </c>
      <c r="U1005" s="17">
        <v>50</v>
      </c>
    </row>
    <row r="1006" spans="5:21" x14ac:dyDescent="0.25">
      <c r="E1006" s="10">
        <v>43841</v>
      </c>
      <c r="F1006" s="11">
        <v>2.7083333333333334E-2</v>
      </c>
      <c r="G1006" t="s">
        <v>6</v>
      </c>
      <c r="H1006">
        <v>6.07</v>
      </c>
      <c r="I1006">
        <v>400</v>
      </c>
      <c r="K1006" s="14">
        <v>43840</v>
      </c>
      <c r="L1006" s="15">
        <v>0.8222222222222223</v>
      </c>
      <c r="M1006" s="13" t="s">
        <v>29</v>
      </c>
      <c r="N1006" s="13">
        <v>13.6</v>
      </c>
      <c r="O1006" s="13">
        <v>250</v>
      </c>
      <c r="Q1006" s="18">
        <v>43909</v>
      </c>
      <c r="R1006" s="19">
        <v>0</v>
      </c>
      <c r="S1006" s="17" t="s">
        <v>6</v>
      </c>
      <c r="T1006" s="17">
        <v>10.86</v>
      </c>
      <c r="U1006" s="17">
        <v>425</v>
      </c>
    </row>
    <row r="1007" spans="5:21" x14ac:dyDescent="0.25">
      <c r="E1007" s="10">
        <v>43841</v>
      </c>
      <c r="F1007" s="11">
        <v>2.0833333333333332E-2</v>
      </c>
      <c r="G1007" t="s">
        <v>6</v>
      </c>
      <c r="H1007">
        <v>3</v>
      </c>
      <c r="I1007">
        <v>100</v>
      </c>
      <c r="K1007" s="14">
        <v>43841</v>
      </c>
      <c r="L1007" s="15">
        <v>4.027777777777778E-2</v>
      </c>
      <c r="M1007" s="13" t="s">
        <v>29</v>
      </c>
      <c r="N1007" s="13">
        <v>0.43</v>
      </c>
      <c r="O1007" s="13">
        <v>130</v>
      </c>
      <c r="Q1007" s="18">
        <v>44057</v>
      </c>
      <c r="R1007" s="19">
        <v>0.74791666666666667</v>
      </c>
      <c r="S1007" s="17" t="s">
        <v>8</v>
      </c>
      <c r="T1007" s="17">
        <v>1.5</v>
      </c>
      <c r="U1007" s="17">
        <v>100</v>
      </c>
    </row>
    <row r="1008" spans="5:21" x14ac:dyDescent="0.25">
      <c r="E1008" s="10">
        <v>43841</v>
      </c>
      <c r="F1008" s="11">
        <v>1.2499999999999999E-2</v>
      </c>
      <c r="G1008" t="s">
        <v>6</v>
      </c>
      <c r="H1008">
        <v>0.52</v>
      </c>
      <c r="I1008">
        <v>150</v>
      </c>
      <c r="K1008" s="14">
        <v>43841</v>
      </c>
      <c r="L1008" s="15">
        <v>0.12986111111111112</v>
      </c>
      <c r="M1008" s="13" t="s">
        <v>29</v>
      </c>
      <c r="N1008" s="13">
        <v>20.51</v>
      </c>
      <c r="O1008" s="13">
        <v>1000</v>
      </c>
      <c r="Q1008" s="18">
        <v>44052</v>
      </c>
      <c r="R1008" s="19">
        <v>0.84722222222222221</v>
      </c>
      <c r="S1008" s="17" t="s">
        <v>13</v>
      </c>
      <c r="T1008" s="17">
        <v>1.03</v>
      </c>
      <c r="U1008" s="17">
        <v>250</v>
      </c>
    </row>
    <row r="1009" spans="5:21" x14ac:dyDescent="0.25">
      <c r="E1009" s="10">
        <v>43858</v>
      </c>
      <c r="F1009" s="11">
        <v>0.63541666666666663</v>
      </c>
      <c r="G1009" t="s">
        <v>6</v>
      </c>
      <c r="H1009">
        <v>1.74</v>
      </c>
      <c r="I1009">
        <v>10</v>
      </c>
      <c r="K1009" s="14">
        <v>43841</v>
      </c>
      <c r="L1009" s="15">
        <v>0.14791666666666667</v>
      </c>
      <c r="M1009" s="13" t="s">
        <v>29</v>
      </c>
      <c r="N1009" s="13">
        <v>11.23</v>
      </c>
      <c r="O1009" s="13">
        <v>550</v>
      </c>
      <c r="Q1009" s="18">
        <v>44001</v>
      </c>
      <c r="R1009" s="19">
        <v>0.6958333333333333</v>
      </c>
      <c r="S1009" s="17" t="s">
        <v>6</v>
      </c>
      <c r="T1009" s="17">
        <v>0.43</v>
      </c>
      <c r="U1009" s="17">
        <v>50</v>
      </c>
    </row>
    <row r="1010" spans="5:21" x14ac:dyDescent="0.25">
      <c r="E1010" s="10">
        <v>43903</v>
      </c>
      <c r="F1010" s="11">
        <v>0.78680555555555554</v>
      </c>
      <c r="G1010" t="s">
        <v>6</v>
      </c>
      <c r="H1010">
        <v>8.9700000000000006</v>
      </c>
      <c r="I1010">
        <v>300</v>
      </c>
      <c r="K1010" s="14">
        <v>43841</v>
      </c>
      <c r="L1010" s="15">
        <v>0.12152777777777778</v>
      </c>
      <c r="M1010" s="13" t="s">
        <v>29</v>
      </c>
      <c r="N1010" s="13">
        <v>10.31</v>
      </c>
      <c r="O1010" s="13">
        <v>800</v>
      </c>
      <c r="Q1010" s="18">
        <v>43841</v>
      </c>
      <c r="R1010" s="19">
        <v>0.88541666666666663</v>
      </c>
      <c r="S1010" s="17" t="s">
        <v>27</v>
      </c>
      <c r="T1010" s="17">
        <v>6.34</v>
      </c>
      <c r="U1010" s="17">
        <v>175</v>
      </c>
    </row>
    <row r="1011" spans="5:21" x14ac:dyDescent="0.25">
      <c r="E1011" s="10">
        <v>43903</v>
      </c>
      <c r="F1011" s="11">
        <v>0.80069444444444438</v>
      </c>
      <c r="G1011" t="s">
        <v>6</v>
      </c>
      <c r="H1011">
        <v>0.47</v>
      </c>
      <c r="I1011">
        <v>20</v>
      </c>
      <c r="K1011" s="14">
        <v>43841</v>
      </c>
      <c r="L1011" s="15">
        <v>0.11458333333333333</v>
      </c>
      <c r="M1011" s="13" t="s">
        <v>29</v>
      </c>
      <c r="N1011" s="13">
        <v>4.45</v>
      </c>
      <c r="O1011" s="13">
        <v>650</v>
      </c>
      <c r="Q1011" s="18">
        <v>43909</v>
      </c>
      <c r="R1011" s="19">
        <v>0.79791666666666661</v>
      </c>
      <c r="S1011" s="17" t="s">
        <v>29</v>
      </c>
      <c r="T1011" s="17">
        <v>0.81</v>
      </c>
      <c r="U1011" s="17">
        <v>300</v>
      </c>
    </row>
    <row r="1012" spans="5:21" x14ac:dyDescent="0.25">
      <c r="E1012" s="10">
        <v>43907</v>
      </c>
      <c r="F1012" s="11">
        <v>0.64236111111111105</v>
      </c>
      <c r="G1012" t="s">
        <v>6</v>
      </c>
      <c r="H1012">
        <v>7.0000000000000007E-2</v>
      </c>
      <c r="I1012">
        <v>35</v>
      </c>
      <c r="K1012" s="14">
        <v>43841</v>
      </c>
      <c r="L1012" s="15">
        <v>0.12083333333333333</v>
      </c>
      <c r="M1012" s="13" t="s">
        <v>29</v>
      </c>
      <c r="N1012" s="13">
        <v>9.11</v>
      </c>
      <c r="O1012" s="13">
        <v>800</v>
      </c>
      <c r="Q1012" s="18">
        <v>43840</v>
      </c>
      <c r="R1012" s="19">
        <v>0.76041666666666663</v>
      </c>
      <c r="S1012" s="17" t="s">
        <v>6</v>
      </c>
      <c r="T1012" s="17">
        <v>0.45</v>
      </c>
      <c r="U1012" s="17">
        <v>150</v>
      </c>
    </row>
    <row r="1013" spans="5:21" x14ac:dyDescent="0.25">
      <c r="E1013" s="10">
        <v>43908</v>
      </c>
      <c r="F1013" s="11">
        <v>0.85</v>
      </c>
      <c r="G1013" t="s">
        <v>6</v>
      </c>
      <c r="H1013">
        <v>5.19</v>
      </c>
      <c r="I1013">
        <v>375</v>
      </c>
      <c r="K1013" s="14">
        <v>43841</v>
      </c>
      <c r="L1013" s="15">
        <v>0.14791666666666667</v>
      </c>
      <c r="M1013" s="13" t="s">
        <v>29</v>
      </c>
      <c r="N1013" s="13">
        <v>17.66</v>
      </c>
      <c r="O1013" s="13">
        <v>850</v>
      </c>
      <c r="Q1013" s="18">
        <v>43928</v>
      </c>
      <c r="R1013" s="19">
        <v>0.93958333333333333</v>
      </c>
      <c r="S1013" s="17" t="s">
        <v>27</v>
      </c>
      <c r="T1013" s="17">
        <v>5.48</v>
      </c>
      <c r="U1013" s="17">
        <v>250</v>
      </c>
    </row>
    <row r="1014" spans="5:21" x14ac:dyDescent="0.25">
      <c r="E1014" s="10">
        <v>43908</v>
      </c>
      <c r="F1014" s="11">
        <v>0.84722222222222221</v>
      </c>
      <c r="G1014" t="s">
        <v>6</v>
      </c>
      <c r="H1014">
        <v>4.0199999999999996</v>
      </c>
      <c r="I1014">
        <v>575</v>
      </c>
      <c r="K1014" s="14">
        <v>43841</v>
      </c>
      <c r="L1014" s="15">
        <v>0.14166666666666666</v>
      </c>
      <c r="M1014" s="13" t="s">
        <v>29</v>
      </c>
      <c r="N1014" s="13">
        <v>0.81</v>
      </c>
      <c r="O1014" s="13">
        <v>150</v>
      </c>
      <c r="Q1014" s="18">
        <v>43929</v>
      </c>
      <c r="R1014" s="19">
        <v>0.88888888888888884</v>
      </c>
      <c r="S1014" s="17" t="s">
        <v>11</v>
      </c>
      <c r="T1014" s="17">
        <v>4</v>
      </c>
      <c r="U1014" s="17">
        <v>45</v>
      </c>
    </row>
    <row r="1015" spans="5:21" x14ac:dyDescent="0.25">
      <c r="E1015" s="10">
        <v>43908</v>
      </c>
      <c r="F1015" s="11">
        <v>0.8305555555555556</v>
      </c>
      <c r="G1015" t="s">
        <v>6</v>
      </c>
      <c r="H1015">
        <v>1.82</v>
      </c>
      <c r="I1015">
        <v>55</v>
      </c>
      <c r="K1015" s="14">
        <v>43841</v>
      </c>
      <c r="L1015" s="15">
        <v>0.15</v>
      </c>
      <c r="M1015" s="13" t="s">
        <v>29</v>
      </c>
      <c r="N1015" s="13">
        <v>0.17</v>
      </c>
      <c r="O1015" s="13">
        <v>15</v>
      </c>
      <c r="Q1015" s="18">
        <v>44091</v>
      </c>
      <c r="R1015" s="19">
        <v>0.34513888888888888</v>
      </c>
      <c r="S1015" s="17" t="s">
        <v>10</v>
      </c>
      <c r="T1015" s="17">
        <v>0.93</v>
      </c>
      <c r="U1015" s="17">
        <v>100</v>
      </c>
    </row>
    <row r="1016" spans="5:21" x14ac:dyDescent="0.25">
      <c r="E1016" s="10">
        <v>43908</v>
      </c>
      <c r="F1016" s="11">
        <v>0.85833333333333339</v>
      </c>
      <c r="G1016" t="s">
        <v>6</v>
      </c>
      <c r="H1016">
        <v>1.55</v>
      </c>
      <c r="I1016">
        <v>120</v>
      </c>
      <c r="K1016" s="14">
        <v>43909</v>
      </c>
      <c r="L1016" s="15">
        <v>0.87986111111111109</v>
      </c>
      <c r="M1016" s="13" t="s">
        <v>29</v>
      </c>
      <c r="N1016" s="13">
        <v>5.67</v>
      </c>
      <c r="O1016" s="13">
        <v>400</v>
      </c>
      <c r="Q1016" s="18">
        <v>43974</v>
      </c>
      <c r="R1016" s="19">
        <v>0.56180555555555556</v>
      </c>
      <c r="S1016" s="17" t="s">
        <v>15</v>
      </c>
      <c r="T1016" s="17">
        <v>12.25</v>
      </c>
      <c r="U1016" s="17">
        <v>30</v>
      </c>
    </row>
    <row r="1017" spans="5:21" x14ac:dyDescent="0.25">
      <c r="E1017" s="10">
        <v>43908</v>
      </c>
      <c r="F1017" s="11">
        <v>0.83611111111111114</v>
      </c>
      <c r="G1017" t="s">
        <v>6</v>
      </c>
      <c r="H1017">
        <v>1.52</v>
      </c>
      <c r="I1017">
        <v>12</v>
      </c>
      <c r="K1017" s="14">
        <v>43909</v>
      </c>
      <c r="L1017" s="15">
        <v>0.77083333333333337</v>
      </c>
      <c r="M1017" s="13" t="s">
        <v>29</v>
      </c>
      <c r="N1017" s="13">
        <v>2.16</v>
      </c>
      <c r="O1017" s="13">
        <v>600</v>
      </c>
      <c r="Q1017" s="18">
        <v>43867</v>
      </c>
      <c r="R1017" s="19">
        <v>0.90138888888888891</v>
      </c>
      <c r="S1017" s="17" t="s">
        <v>19</v>
      </c>
      <c r="T1017" s="17">
        <v>9.24</v>
      </c>
      <c r="U1017" s="17">
        <v>50</v>
      </c>
    </row>
    <row r="1018" spans="5:21" x14ac:dyDescent="0.25">
      <c r="E1018" s="10">
        <v>43908</v>
      </c>
      <c r="F1018" s="11">
        <v>0.87986111111111109</v>
      </c>
      <c r="G1018" t="s">
        <v>6</v>
      </c>
      <c r="H1018">
        <v>0.81</v>
      </c>
      <c r="I1018">
        <v>100</v>
      </c>
      <c r="K1018" s="14">
        <v>43909</v>
      </c>
      <c r="L1018" s="15">
        <v>0.74305555555555547</v>
      </c>
      <c r="M1018" s="13" t="s">
        <v>29</v>
      </c>
      <c r="N1018" s="13">
        <v>12.5</v>
      </c>
      <c r="O1018" s="13">
        <v>500</v>
      </c>
      <c r="Q1018" s="18">
        <v>44041</v>
      </c>
      <c r="R1018" s="19">
        <v>0.53125</v>
      </c>
      <c r="S1018" s="17" t="s">
        <v>17</v>
      </c>
      <c r="T1018" s="17">
        <v>0.27</v>
      </c>
      <c r="U1018" s="17">
        <v>20</v>
      </c>
    </row>
    <row r="1019" spans="5:21" x14ac:dyDescent="0.25">
      <c r="E1019" s="10">
        <v>43908</v>
      </c>
      <c r="F1019" s="11">
        <v>0.88958333333333339</v>
      </c>
      <c r="G1019" t="s">
        <v>6</v>
      </c>
      <c r="H1019">
        <v>0.67</v>
      </c>
      <c r="I1019">
        <v>46</v>
      </c>
      <c r="K1019" s="14">
        <v>43909</v>
      </c>
      <c r="L1019" s="15">
        <v>0.80763888888888891</v>
      </c>
      <c r="M1019" s="13" t="s">
        <v>29</v>
      </c>
      <c r="N1019" s="13">
        <v>2.79</v>
      </c>
      <c r="O1019" s="13">
        <v>200</v>
      </c>
      <c r="Q1019" s="18">
        <v>44057</v>
      </c>
      <c r="R1019" s="19">
        <v>0.6972222222222223</v>
      </c>
      <c r="S1019" s="17" t="s">
        <v>8</v>
      </c>
      <c r="T1019" s="17">
        <v>2.16</v>
      </c>
      <c r="U1019" s="17">
        <v>300</v>
      </c>
    </row>
    <row r="1020" spans="5:21" x14ac:dyDescent="0.25">
      <c r="E1020" s="10">
        <v>43909</v>
      </c>
      <c r="F1020" s="11">
        <v>0</v>
      </c>
      <c r="G1020" t="s">
        <v>6</v>
      </c>
      <c r="H1020">
        <v>10.86</v>
      </c>
      <c r="I1020">
        <v>425</v>
      </c>
      <c r="K1020" s="14">
        <v>43909</v>
      </c>
      <c r="L1020" s="15">
        <v>0.79791666666666661</v>
      </c>
      <c r="M1020" s="13" t="s">
        <v>29</v>
      </c>
      <c r="N1020" s="13">
        <v>0.81</v>
      </c>
      <c r="O1020" s="13">
        <v>300</v>
      </c>
      <c r="Q1020" s="18">
        <v>43973</v>
      </c>
      <c r="R1020" s="19">
        <v>0.76874999999999993</v>
      </c>
      <c r="S1020" s="17" t="s">
        <v>6</v>
      </c>
      <c r="T1020" s="17">
        <v>2.2999999999999998</v>
      </c>
      <c r="U1020" s="17">
        <v>50</v>
      </c>
    </row>
    <row r="1021" spans="5:21" x14ac:dyDescent="0.25">
      <c r="E1021" s="10">
        <v>43909</v>
      </c>
      <c r="F1021" s="11">
        <v>2.9861111111111113E-2</v>
      </c>
      <c r="G1021" t="s">
        <v>6</v>
      </c>
      <c r="H1021">
        <v>5.38</v>
      </c>
      <c r="I1021">
        <v>135</v>
      </c>
      <c r="K1021" s="14">
        <v>43918</v>
      </c>
      <c r="L1021" s="15">
        <v>0.66527777777777775</v>
      </c>
      <c r="M1021" s="13" t="s">
        <v>29</v>
      </c>
      <c r="N1021" s="13">
        <v>12.53</v>
      </c>
      <c r="O1021" s="13">
        <v>600</v>
      </c>
      <c r="Q1021" s="18">
        <v>43841</v>
      </c>
      <c r="R1021" s="19">
        <v>0.19305555555555554</v>
      </c>
      <c r="S1021" s="17" t="s">
        <v>21</v>
      </c>
      <c r="T1021" s="17">
        <v>1.86</v>
      </c>
      <c r="U1021" s="17">
        <v>150</v>
      </c>
    </row>
    <row r="1022" spans="5:21" x14ac:dyDescent="0.25">
      <c r="E1022" s="10">
        <v>43909</v>
      </c>
      <c r="F1022" s="11">
        <v>2.0833333333333332E-2</v>
      </c>
      <c r="G1022" t="s">
        <v>6</v>
      </c>
      <c r="H1022">
        <v>0.23</v>
      </c>
      <c r="I1022">
        <v>35</v>
      </c>
      <c r="K1022" s="14">
        <v>43918</v>
      </c>
      <c r="L1022" s="15">
        <v>0.68402777777777779</v>
      </c>
      <c r="M1022" s="13" t="s">
        <v>29</v>
      </c>
      <c r="N1022" s="13">
        <v>2.97</v>
      </c>
      <c r="O1022" s="13">
        <v>100</v>
      </c>
      <c r="Q1022" s="18">
        <v>43840</v>
      </c>
      <c r="R1022" s="19">
        <v>0.99513888888888891</v>
      </c>
      <c r="S1022" s="17" t="s">
        <v>6</v>
      </c>
      <c r="T1022" s="17">
        <v>0.31</v>
      </c>
      <c r="U1022" s="17">
        <v>150</v>
      </c>
    </row>
    <row r="1023" spans="5:21" x14ac:dyDescent="0.25">
      <c r="E1023" s="10">
        <v>43920</v>
      </c>
      <c r="F1023" s="11">
        <v>0.68194444444444446</v>
      </c>
      <c r="G1023" t="s">
        <v>6</v>
      </c>
      <c r="H1023">
        <v>3.55</v>
      </c>
      <c r="I1023">
        <v>50</v>
      </c>
      <c r="K1023" s="14">
        <v>43918</v>
      </c>
      <c r="L1023" s="15">
        <v>0.63750000000000007</v>
      </c>
      <c r="M1023" s="13" t="s">
        <v>29</v>
      </c>
      <c r="N1023" s="13">
        <v>5.33</v>
      </c>
      <c r="O1023" s="13">
        <v>200</v>
      </c>
      <c r="Q1023" s="18">
        <v>43940</v>
      </c>
      <c r="R1023" s="19">
        <v>0.88402777777777775</v>
      </c>
      <c r="S1023" s="17" t="s">
        <v>26</v>
      </c>
      <c r="T1023" s="17">
        <v>3.05</v>
      </c>
      <c r="U1023" s="17">
        <v>300</v>
      </c>
    </row>
    <row r="1024" spans="5:21" x14ac:dyDescent="0.25">
      <c r="E1024" s="10">
        <v>43920</v>
      </c>
      <c r="F1024" s="11">
        <v>0.70138888888888884</v>
      </c>
      <c r="G1024" t="s">
        <v>6</v>
      </c>
      <c r="H1024">
        <v>0.21</v>
      </c>
      <c r="I1024">
        <v>20</v>
      </c>
      <c r="K1024" s="14">
        <v>43929</v>
      </c>
      <c r="L1024" s="15">
        <v>0.79513888888888884</v>
      </c>
      <c r="M1024" s="13" t="s">
        <v>29</v>
      </c>
      <c r="N1024" s="13">
        <v>9.33</v>
      </c>
      <c r="O1024" s="13">
        <v>75</v>
      </c>
      <c r="Q1024" s="18">
        <v>44033</v>
      </c>
      <c r="R1024" s="19">
        <v>0.73611111111111116</v>
      </c>
      <c r="S1024" s="17" t="s">
        <v>32</v>
      </c>
      <c r="T1024" s="17">
        <v>0.09</v>
      </c>
      <c r="U1024" s="17">
        <v>25</v>
      </c>
    </row>
    <row r="1025" spans="5:21" x14ac:dyDescent="0.25">
      <c r="E1025" s="10">
        <v>43933</v>
      </c>
      <c r="F1025" s="11">
        <v>0.15277777777777776</v>
      </c>
      <c r="G1025" t="s">
        <v>6</v>
      </c>
      <c r="H1025">
        <v>11.56</v>
      </c>
      <c r="I1025">
        <v>150</v>
      </c>
      <c r="K1025" s="14">
        <v>43929</v>
      </c>
      <c r="L1025" s="15">
        <v>0.78263888888888899</v>
      </c>
      <c r="M1025" s="13" t="s">
        <v>29</v>
      </c>
      <c r="N1025" s="13">
        <v>0.89</v>
      </c>
      <c r="O1025" s="13">
        <v>30</v>
      </c>
      <c r="Q1025" s="18">
        <v>44052</v>
      </c>
      <c r="R1025" s="19">
        <v>0.78055555555555556</v>
      </c>
      <c r="S1025" s="17" t="s">
        <v>32</v>
      </c>
      <c r="T1025" s="17">
        <v>6.18</v>
      </c>
      <c r="U1025" s="17">
        <v>400</v>
      </c>
    </row>
    <row r="1026" spans="5:21" x14ac:dyDescent="0.25">
      <c r="E1026" s="10">
        <v>43933</v>
      </c>
      <c r="F1026" s="11">
        <v>0.33888888888888885</v>
      </c>
      <c r="G1026" t="s">
        <v>6</v>
      </c>
      <c r="H1026">
        <v>10.59</v>
      </c>
      <c r="I1026">
        <v>100</v>
      </c>
      <c r="K1026" s="14">
        <v>43945</v>
      </c>
      <c r="L1026" s="15">
        <v>0.83958333333333324</v>
      </c>
      <c r="M1026" s="13" t="s">
        <v>29</v>
      </c>
      <c r="N1026" s="13">
        <v>0.5</v>
      </c>
      <c r="O1026" s="13">
        <v>75</v>
      </c>
      <c r="Q1026" s="18">
        <v>43908</v>
      </c>
      <c r="R1026" s="19">
        <v>0.83611111111111114</v>
      </c>
      <c r="S1026" s="17" t="s">
        <v>6</v>
      </c>
      <c r="T1026" s="17">
        <v>1.52</v>
      </c>
      <c r="U1026" s="17">
        <v>12</v>
      </c>
    </row>
    <row r="1027" spans="5:21" x14ac:dyDescent="0.25">
      <c r="E1027" s="10">
        <v>43933</v>
      </c>
      <c r="F1027" s="11">
        <v>0.18263888888888891</v>
      </c>
      <c r="G1027" t="s">
        <v>6</v>
      </c>
      <c r="H1027">
        <v>6.96</v>
      </c>
      <c r="I1027">
        <v>200</v>
      </c>
      <c r="K1027" s="14">
        <v>43949</v>
      </c>
      <c r="L1027" s="15">
        <v>0.89166666666666661</v>
      </c>
      <c r="M1027" s="13" t="s">
        <v>29</v>
      </c>
      <c r="N1027" s="13">
        <v>15.95</v>
      </c>
      <c r="O1027" s="13">
        <v>350</v>
      </c>
      <c r="Q1027" s="18">
        <v>44020</v>
      </c>
      <c r="R1027" s="19">
        <v>0.7631944444444444</v>
      </c>
      <c r="S1027" s="17" t="s">
        <v>7</v>
      </c>
      <c r="T1027" s="17">
        <v>0.01</v>
      </c>
      <c r="U1027" s="17">
        <v>50</v>
      </c>
    </row>
    <row r="1028" spans="5:21" x14ac:dyDescent="0.25">
      <c r="E1028" s="10">
        <v>43933</v>
      </c>
      <c r="F1028" s="11">
        <v>2.0833333333333333E-3</v>
      </c>
      <c r="G1028" t="s">
        <v>6</v>
      </c>
      <c r="H1028">
        <v>5.62</v>
      </c>
      <c r="I1028">
        <v>250</v>
      </c>
      <c r="K1028" s="14">
        <v>43967</v>
      </c>
      <c r="L1028" s="15">
        <v>0.56597222222222221</v>
      </c>
      <c r="M1028" s="13" t="s">
        <v>29</v>
      </c>
      <c r="N1028" s="13">
        <v>2.2400000000000002</v>
      </c>
      <c r="O1028" s="13">
        <v>20</v>
      </c>
      <c r="Q1028" s="18">
        <v>43936</v>
      </c>
      <c r="R1028" s="19">
        <v>0.22013888888888888</v>
      </c>
      <c r="S1028" s="17" t="s">
        <v>19</v>
      </c>
      <c r="T1028" s="17">
        <v>14.86</v>
      </c>
      <c r="U1028" s="17">
        <v>125</v>
      </c>
    </row>
    <row r="1029" spans="5:21" x14ac:dyDescent="0.25">
      <c r="E1029" s="10">
        <v>43933</v>
      </c>
      <c r="F1029" s="11">
        <v>0.12847222222222224</v>
      </c>
      <c r="G1029" t="s">
        <v>6</v>
      </c>
      <c r="H1029">
        <v>5.12</v>
      </c>
      <c r="I1029">
        <v>300</v>
      </c>
      <c r="K1029" s="14">
        <v>43967</v>
      </c>
      <c r="L1029" s="15">
        <v>0.6777777777777777</v>
      </c>
      <c r="M1029" s="13" t="s">
        <v>29</v>
      </c>
      <c r="N1029" s="13">
        <v>2.16</v>
      </c>
      <c r="O1029" s="13">
        <v>30</v>
      </c>
      <c r="Q1029" s="18">
        <v>43989</v>
      </c>
      <c r="R1029" s="19">
        <v>0.72013888888888899</v>
      </c>
      <c r="S1029" s="17" t="s">
        <v>16</v>
      </c>
      <c r="T1029" s="17">
        <v>0.99</v>
      </c>
      <c r="U1029" s="17">
        <v>70</v>
      </c>
    </row>
    <row r="1030" spans="5:21" x14ac:dyDescent="0.25">
      <c r="E1030" s="10">
        <v>43933</v>
      </c>
      <c r="F1030" s="11">
        <v>0.33749999999999997</v>
      </c>
      <c r="G1030" t="s">
        <v>6</v>
      </c>
      <c r="H1030">
        <v>0.74</v>
      </c>
      <c r="I1030">
        <v>30</v>
      </c>
      <c r="K1030" s="14">
        <v>43967</v>
      </c>
      <c r="L1030" s="15">
        <v>0.69166666666666676</v>
      </c>
      <c r="M1030" s="13" t="s">
        <v>29</v>
      </c>
      <c r="N1030" s="13">
        <v>0.09</v>
      </c>
      <c r="O1030" s="13">
        <v>20</v>
      </c>
      <c r="Q1030" s="18">
        <v>44056</v>
      </c>
      <c r="R1030" s="19">
        <v>0.8222222222222223</v>
      </c>
      <c r="S1030" s="17" t="s">
        <v>8</v>
      </c>
      <c r="T1030" s="17">
        <v>0.1</v>
      </c>
      <c r="U1030" s="17">
        <v>30</v>
      </c>
    </row>
    <row r="1031" spans="5:21" x14ac:dyDescent="0.25">
      <c r="E1031" s="10">
        <v>43933</v>
      </c>
      <c r="F1031" s="11">
        <v>0.21180555555555555</v>
      </c>
      <c r="G1031" t="s">
        <v>6</v>
      </c>
      <c r="H1031">
        <v>0.22</v>
      </c>
      <c r="I1031">
        <v>50</v>
      </c>
      <c r="K1031" s="14">
        <v>43967</v>
      </c>
      <c r="L1031" s="15">
        <v>0.7055555555555556</v>
      </c>
      <c r="M1031" s="13" t="s">
        <v>29</v>
      </c>
      <c r="N1031" s="13">
        <v>1.89</v>
      </c>
      <c r="O1031" s="13">
        <v>40</v>
      </c>
      <c r="Q1031" s="18">
        <v>43841</v>
      </c>
      <c r="R1031" s="19">
        <v>0.82291666666666663</v>
      </c>
      <c r="S1031" s="17" t="s">
        <v>10</v>
      </c>
      <c r="T1031" s="17">
        <v>0.53</v>
      </c>
      <c r="U1031" s="17">
        <v>30</v>
      </c>
    </row>
    <row r="1032" spans="5:21" x14ac:dyDescent="0.25">
      <c r="E1032" s="10">
        <v>43943</v>
      </c>
      <c r="F1032" s="11">
        <v>0.76944444444444438</v>
      </c>
      <c r="G1032" t="s">
        <v>6</v>
      </c>
      <c r="H1032">
        <v>36.42</v>
      </c>
      <c r="I1032">
        <v>600</v>
      </c>
      <c r="K1032" s="14">
        <v>43967</v>
      </c>
      <c r="L1032" s="15">
        <v>0.7402777777777777</v>
      </c>
      <c r="M1032" s="13" t="s">
        <v>29</v>
      </c>
      <c r="N1032" s="13">
        <v>0.47</v>
      </c>
      <c r="O1032" s="13">
        <v>20</v>
      </c>
      <c r="Q1032" s="18">
        <v>44145</v>
      </c>
      <c r="R1032" s="19">
        <v>0.625</v>
      </c>
      <c r="S1032" s="17" t="s">
        <v>15</v>
      </c>
      <c r="T1032" s="17">
        <v>4.28</v>
      </c>
      <c r="U1032" s="17">
        <v>100</v>
      </c>
    </row>
    <row r="1033" spans="5:21" x14ac:dyDescent="0.25">
      <c r="E1033" s="10">
        <v>43943</v>
      </c>
      <c r="F1033" s="11">
        <v>0.69097222222222221</v>
      </c>
      <c r="G1033" t="s">
        <v>6</v>
      </c>
      <c r="H1033">
        <v>28.51</v>
      </c>
      <c r="I1033">
        <v>1100</v>
      </c>
      <c r="K1033" s="14">
        <v>43967</v>
      </c>
      <c r="L1033" s="15">
        <v>0.69374999999999998</v>
      </c>
      <c r="M1033" s="13" t="s">
        <v>29</v>
      </c>
      <c r="N1033" s="13">
        <v>2.63</v>
      </c>
      <c r="O1033" s="13">
        <v>50</v>
      </c>
      <c r="Q1033" s="18">
        <v>44030</v>
      </c>
      <c r="R1033" s="19">
        <v>7.7083333333333337E-2</v>
      </c>
      <c r="S1033" s="17" t="s">
        <v>32</v>
      </c>
      <c r="T1033" s="17">
        <v>0.6</v>
      </c>
      <c r="U1033" s="17">
        <v>50</v>
      </c>
    </row>
    <row r="1034" spans="5:21" x14ac:dyDescent="0.25">
      <c r="E1034" s="10">
        <v>43943</v>
      </c>
      <c r="F1034" s="11">
        <v>0.76944444444444438</v>
      </c>
      <c r="G1034" t="s">
        <v>6</v>
      </c>
      <c r="H1034">
        <v>20.8</v>
      </c>
      <c r="I1034">
        <v>600</v>
      </c>
      <c r="K1034" s="14">
        <v>43967</v>
      </c>
      <c r="L1034" s="15">
        <v>0.56597222222222221</v>
      </c>
      <c r="M1034" s="13" t="s">
        <v>29</v>
      </c>
      <c r="N1034" s="13">
        <v>0.99</v>
      </c>
      <c r="O1034" s="13">
        <v>20</v>
      </c>
      <c r="Q1034" s="18">
        <v>44058</v>
      </c>
      <c r="R1034" s="19">
        <v>0.62777777777777777</v>
      </c>
      <c r="S1034" s="17" t="s">
        <v>25</v>
      </c>
      <c r="T1034" s="17">
        <v>0.09</v>
      </c>
      <c r="U1034" s="17">
        <v>20</v>
      </c>
    </row>
    <row r="1035" spans="5:21" x14ac:dyDescent="0.25">
      <c r="E1035" s="10">
        <v>43943</v>
      </c>
      <c r="F1035" s="11">
        <v>0.74375000000000002</v>
      </c>
      <c r="G1035" t="s">
        <v>6</v>
      </c>
      <c r="H1035">
        <v>10.4</v>
      </c>
      <c r="I1035">
        <v>810</v>
      </c>
      <c r="K1035" s="14">
        <v>43976</v>
      </c>
      <c r="L1035" s="15">
        <v>0.70694444444444438</v>
      </c>
      <c r="M1035" s="13" t="s">
        <v>29</v>
      </c>
      <c r="N1035" s="13">
        <v>1.3</v>
      </c>
      <c r="O1035" s="13">
        <v>75</v>
      </c>
      <c r="Q1035" s="18">
        <v>43967</v>
      </c>
      <c r="R1035" s="19">
        <v>0.69374999999999998</v>
      </c>
      <c r="S1035" s="17" t="s">
        <v>29</v>
      </c>
      <c r="T1035" s="17">
        <v>2.63</v>
      </c>
      <c r="U1035" s="17">
        <v>50</v>
      </c>
    </row>
    <row r="1036" spans="5:21" x14ac:dyDescent="0.25">
      <c r="E1036" s="10">
        <v>43943</v>
      </c>
      <c r="F1036" s="11">
        <v>0.73263888888888884</v>
      </c>
      <c r="G1036" t="s">
        <v>6</v>
      </c>
      <c r="H1036">
        <v>4.45</v>
      </c>
      <c r="I1036">
        <v>510</v>
      </c>
      <c r="K1036" s="14">
        <v>43976</v>
      </c>
      <c r="L1036" s="15">
        <v>0.69305555555555554</v>
      </c>
      <c r="M1036" s="13" t="s">
        <v>29</v>
      </c>
      <c r="N1036" s="13">
        <v>0.3</v>
      </c>
      <c r="O1036" s="13">
        <v>40</v>
      </c>
      <c r="Q1036" s="18">
        <v>43971</v>
      </c>
      <c r="R1036" s="19">
        <v>0.78888888888888886</v>
      </c>
      <c r="S1036" s="17" t="s">
        <v>7</v>
      </c>
      <c r="T1036" s="17">
        <v>8</v>
      </c>
      <c r="U1036" s="17">
        <v>50</v>
      </c>
    </row>
    <row r="1037" spans="5:21" x14ac:dyDescent="0.25">
      <c r="E1037" s="10">
        <v>43945</v>
      </c>
      <c r="F1037" s="11">
        <v>0.73611111111111116</v>
      </c>
      <c r="G1037" t="s">
        <v>6</v>
      </c>
      <c r="H1037">
        <v>7.94</v>
      </c>
      <c r="I1037">
        <v>425</v>
      </c>
      <c r="K1037" s="14">
        <v>44013</v>
      </c>
      <c r="L1037" s="15">
        <v>0.49305555555555558</v>
      </c>
      <c r="M1037" s="13" t="s">
        <v>29</v>
      </c>
      <c r="N1037" s="13">
        <v>0.05</v>
      </c>
      <c r="O1037" s="13">
        <v>25</v>
      </c>
      <c r="Q1037" s="18">
        <v>43934</v>
      </c>
      <c r="R1037" s="19">
        <v>0.16180555555555556</v>
      </c>
      <c r="S1037" s="17" t="s">
        <v>10</v>
      </c>
      <c r="T1037" s="17">
        <v>4.8899999999999997</v>
      </c>
      <c r="U1037" s="17">
        <v>80</v>
      </c>
    </row>
    <row r="1038" spans="5:21" x14ac:dyDescent="0.25">
      <c r="E1038" s="10">
        <v>43945</v>
      </c>
      <c r="F1038" s="11">
        <v>0.75555555555555554</v>
      </c>
      <c r="G1038" t="s">
        <v>6</v>
      </c>
      <c r="H1038">
        <v>0.11</v>
      </c>
      <c r="I1038">
        <v>50</v>
      </c>
      <c r="K1038" s="14">
        <v>44070</v>
      </c>
      <c r="L1038" s="15">
        <v>0.75902777777777775</v>
      </c>
      <c r="M1038" s="13" t="s">
        <v>29</v>
      </c>
      <c r="N1038" s="13">
        <v>2.15</v>
      </c>
      <c r="O1038" s="13">
        <v>80</v>
      </c>
      <c r="Q1038" s="18">
        <v>43933</v>
      </c>
      <c r="R1038" s="19">
        <v>0.54583333333333328</v>
      </c>
      <c r="S1038" s="17" t="s">
        <v>24</v>
      </c>
      <c r="T1038" s="17">
        <v>2.46</v>
      </c>
      <c r="U1038" s="17">
        <v>500</v>
      </c>
    </row>
    <row r="1039" spans="5:21" x14ac:dyDescent="0.25">
      <c r="E1039" s="10">
        <v>43945</v>
      </c>
      <c r="F1039" s="11">
        <v>0.75902777777777775</v>
      </c>
      <c r="G1039" t="s">
        <v>6</v>
      </c>
      <c r="H1039">
        <v>0.05</v>
      </c>
      <c r="I1039">
        <v>50</v>
      </c>
      <c r="K1039" s="14">
        <v>44070</v>
      </c>
      <c r="L1039" s="15">
        <v>0.81319444444444444</v>
      </c>
      <c r="M1039" s="13" t="s">
        <v>29</v>
      </c>
      <c r="N1039" s="13">
        <v>3.56</v>
      </c>
      <c r="O1039" s="13">
        <v>70</v>
      </c>
      <c r="Q1039" s="18">
        <v>43940</v>
      </c>
      <c r="R1039" s="19">
        <v>0.94791666666666663</v>
      </c>
      <c r="S1039" s="17" t="s">
        <v>20</v>
      </c>
      <c r="T1039" s="17">
        <v>1.49</v>
      </c>
      <c r="U1039" s="17">
        <v>500</v>
      </c>
    </row>
    <row r="1040" spans="5:21" x14ac:dyDescent="0.25">
      <c r="E1040" s="10">
        <v>43963</v>
      </c>
      <c r="F1040" s="11">
        <v>0.41250000000000003</v>
      </c>
      <c r="G1040" t="s">
        <v>6</v>
      </c>
      <c r="H1040">
        <v>2.6</v>
      </c>
      <c r="I1040">
        <v>20</v>
      </c>
      <c r="K1040" s="14">
        <v>44070</v>
      </c>
      <c r="L1040" s="15">
        <v>0.85</v>
      </c>
      <c r="M1040" s="13" t="s">
        <v>29</v>
      </c>
      <c r="N1040" s="13">
        <v>0.89</v>
      </c>
      <c r="O1040" s="13">
        <v>50</v>
      </c>
      <c r="Q1040" s="18">
        <v>44145</v>
      </c>
      <c r="R1040" s="19">
        <v>0.61805555555555558</v>
      </c>
      <c r="S1040" s="17" t="s">
        <v>15</v>
      </c>
      <c r="T1040" s="17">
        <v>3.47</v>
      </c>
      <c r="U1040" s="17">
        <v>100</v>
      </c>
    </row>
    <row r="1041" spans="5:21" x14ac:dyDescent="0.25">
      <c r="E1041" s="10">
        <v>43963</v>
      </c>
      <c r="F1041" s="11">
        <v>0.33958333333333335</v>
      </c>
      <c r="G1041" t="s">
        <v>6</v>
      </c>
      <c r="H1041">
        <v>0.73</v>
      </c>
      <c r="I1041">
        <v>20</v>
      </c>
      <c r="K1041" s="14">
        <v>44070</v>
      </c>
      <c r="L1041" s="15">
        <v>0.7284722222222223</v>
      </c>
      <c r="M1041" s="13" t="s">
        <v>29</v>
      </c>
      <c r="N1041" s="13">
        <v>2.15</v>
      </c>
      <c r="O1041" s="13">
        <v>60</v>
      </c>
      <c r="Q1041" s="18">
        <v>44020</v>
      </c>
      <c r="R1041" s="19">
        <v>0.74652777777777779</v>
      </c>
      <c r="S1041" s="17" t="s">
        <v>28</v>
      </c>
      <c r="T1041" s="17">
        <v>0.1</v>
      </c>
      <c r="U1041" s="17">
        <v>10</v>
      </c>
    </row>
    <row r="1042" spans="5:21" x14ac:dyDescent="0.25">
      <c r="E1042" s="10">
        <v>43963</v>
      </c>
      <c r="F1042" s="11">
        <v>0.43611111111111112</v>
      </c>
      <c r="G1042" t="s">
        <v>6</v>
      </c>
      <c r="H1042">
        <v>0.05</v>
      </c>
      <c r="I1042">
        <v>20</v>
      </c>
      <c r="K1042" s="14">
        <v>44070</v>
      </c>
      <c r="L1042" s="15">
        <v>0.73958333333333337</v>
      </c>
      <c r="M1042" s="13" t="s">
        <v>29</v>
      </c>
      <c r="N1042" s="13">
        <v>1.26</v>
      </c>
      <c r="O1042" s="13">
        <v>50</v>
      </c>
      <c r="Q1042" s="18">
        <v>43918</v>
      </c>
      <c r="R1042" s="19">
        <v>0.79027777777777775</v>
      </c>
      <c r="S1042" s="17" t="s">
        <v>11</v>
      </c>
      <c r="T1042" s="17">
        <v>16.79</v>
      </c>
      <c r="U1042" s="17">
        <v>500</v>
      </c>
    </row>
    <row r="1043" spans="5:21" x14ac:dyDescent="0.25">
      <c r="E1043" s="10">
        <v>43964</v>
      </c>
      <c r="F1043" s="11">
        <v>0.64583333333333337</v>
      </c>
      <c r="G1043" t="s">
        <v>6</v>
      </c>
      <c r="H1043">
        <v>0.82</v>
      </c>
      <c r="I1043">
        <v>50</v>
      </c>
      <c r="K1043" s="14">
        <v>44070</v>
      </c>
      <c r="L1043" s="15">
        <v>0.84236111111111101</v>
      </c>
      <c r="M1043" s="13" t="s">
        <v>29</v>
      </c>
      <c r="N1043" s="13">
        <v>4.47</v>
      </c>
      <c r="O1043" s="13">
        <v>120</v>
      </c>
      <c r="Q1043" s="18">
        <v>43943</v>
      </c>
      <c r="R1043" s="19">
        <v>0.73263888888888884</v>
      </c>
      <c r="S1043" s="17" t="s">
        <v>6</v>
      </c>
      <c r="T1043" s="17">
        <v>4.45</v>
      </c>
      <c r="U1043" s="17">
        <v>510</v>
      </c>
    </row>
    <row r="1044" spans="5:21" x14ac:dyDescent="0.25">
      <c r="E1044" s="10">
        <v>43967</v>
      </c>
      <c r="F1044" s="11">
        <v>0.24166666666666667</v>
      </c>
      <c r="G1044" t="s">
        <v>6</v>
      </c>
      <c r="H1044">
        <v>4.47</v>
      </c>
      <c r="I1044">
        <v>25</v>
      </c>
      <c r="K1044" s="14">
        <v>44070</v>
      </c>
      <c r="L1044" s="15">
        <v>0.87986111111111109</v>
      </c>
      <c r="M1044" s="13" t="s">
        <v>29</v>
      </c>
      <c r="N1044" s="13">
        <v>14.02</v>
      </c>
      <c r="O1044" s="13">
        <v>100</v>
      </c>
      <c r="Q1044" s="18">
        <v>43933</v>
      </c>
      <c r="R1044" s="19">
        <v>0.37291666666666662</v>
      </c>
      <c r="S1044" s="17" t="s">
        <v>26</v>
      </c>
      <c r="T1044" s="17">
        <v>6.65</v>
      </c>
      <c r="U1044" s="17">
        <v>300</v>
      </c>
    </row>
    <row r="1045" spans="5:21" x14ac:dyDescent="0.25">
      <c r="E1045" s="10">
        <v>43967</v>
      </c>
      <c r="F1045" s="11">
        <v>0.60902777777777783</v>
      </c>
      <c r="G1045" t="s">
        <v>6</v>
      </c>
      <c r="H1045">
        <v>2.63</v>
      </c>
      <c r="I1045">
        <v>40</v>
      </c>
      <c r="K1045" s="14">
        <v>44070</v>
      </c>
      <c r="L1045" s="15">
        <v>0.82986111111111116</v>
      </c>
      <c r="M1045" s="13" t="s">
        <v>29</v>
      </c>
      <c r="N1045" s="13">
        <v>0.89</v>
      </c>
      <c r="O1045" s="13">
        <v>60</v>
      </c>
      <c r="Q1045" s="18">
        <v>43933</v>
      </c>
      <c r="R1045" s="19">
        <v>0.38194444444444442</v>
      </c>
      <c r="S1045" s="17" t="s">
        <v>26</v>
      </c>
      <c r="T1045" s="17">
        <v>6.13</v>
      </c>
      <c r="U1045" s="17">
        <v>1000</v>
      </c>
    </row>
    <row r="1046" spans="5:21" x14ac:dyDescent="0.25">
      <c r="E1046" s="10">
        <v>43967</v>
      </c>
      <c r="F1046" s="11">
        <v>0.53263888888888888</v>
      </c>
      <c r="G1046" t="s">
        <v>6</v>
      </c>
      <c r="H1046">
        <v>2.17</v>
      </c>
      <c r="I1046">
        <v>250</v>
      </c>
      <c r="K1046" s="14">
        <v>44075</v>
      </c>
      <c r="L1046" s="15">
        <v>0.54097222222222219</v>
      </c>
      <c r="M1046" s="13" t="s">
        <v>29</v>
      </c>
      <c r="N1046" s="13">
        <v>3.2</v>
      </c>
      <c r="O1046" s="13">
        <v>100</v>
      </c>
      <c r="Q1046" s="18">
        <v>43934</v>
      </c>
      <c r="R1046" s="19">
        <v>0.33402777777777781</v>
      </c>
      <c r="S1046" s="17" t="s">
        <v>14</v>
      </c>
      <c r="T1046" s="17">
        <v>0.7</v>
      </c>
      <c r="U1046" s="17">
        <v>75</v>
      </c>
    </row>
    <row r="1047" spans="5:21" x14ac:dyDescent="0.25">
      <c r="E1047" s="10">
        <v>43967</v>
      </c>
      <c r="F1047" s="11">
        <v>0.48333333333333334</v>
      </c>
      <c r="G1047" t="s">
        <v>6</v>
      </c>
      <c r="H1047">
        <v>1.03</v>
      </c>
      <c r="I1047">
        <v>150</v>
      </c>
      <c r="K1047" s="14">
        <v>44075</v>
      </c>
      <c r="L1047" s="15">
        <v>0.55069444444444449</v>
      </c>
      <c r="M1047" s="13" t="s">
        <v>29</v>
      </c>
      <c r="N1047" s="13">
        <v>3.2</v>
      </c>
      <c r="O1047" s="13">
        <v>50</v>
      </c>
      <c r="Q1047" s="18">
        <v>44058</v>
      </c>
      <c r="R1047" s="19">
        <v>0.74444444444444446</v>
      </c>
      <c r="S1047" s="17" t="s">
        <v>7</v>
      </c>
      <c r="T1047" s="17">
        <v>0.01</v>
      </c>
      <c r="U1047" s="17">
        <v>50</v>
      </c>
    </row>
    <row r="1048" spans="5:21" x14ac:dyDescent="0.25">
      <c r="E1048" s="10">
        <v>43967</v>
      </c>
      <c r="F1048" s="11">
        <v>0.5229166666666667</v>
      </c>
      <c r="G1048" t="s">
        <v>6</v>
      </c>
      <c r="H1048">
        <v>0.64</v>
      </c>
      <c r="I1048">
        <v>30</v>
      </c>
      <c r="K1048" s="14">
        <v>44075</v>
      </c>
      <c r="L1048" s="15">
        <v>0.58819444444444446</v>
      </c>
      <c r="M1048" s="13" t="s">
        <v>29</v>
      </c>
      <c r="N1048" s="13">
        <v>5.3</v>
      </c>
      <c r="O1048" s="13">
        <v>150</v>
      </c>
      <c r="Q1048" s="18">
        <v>44132</v>
      </c>
      <c r="R1048" s="19">
        <v>0.71458333333333324</v>
      </c>
      <c r="S1048" s="17" t="s">
        <v>24</v>
      </c>
      <c r="T1048" s="17">
        <v>5</v>
      </c>
      <c r="U1048" s="17">
        <v>150</v>
      </c>
    </row>
    <row r="1049" spans="5:21" x14ac:dyDescent="0.25">
      <c r="E1049" s="10">
        <v>43967</v>
      </c>
      <c r="F1049" s="11">
        <v>0.67013888888888884</v>
      </c>
      <c r="G1049" t="s">
        <v>6</v>
      </c>
      <c r="H1049">
        <v>0.19</v>
      </c>
      <c r="I1049">
        <v>30</v>
      </c>
      <c r="K1049" s="14">
        <v>44150</v>
      </c>
      <c r="L1049" s="15">
        <v>5.2083333333333336E-2</v>
      </c>
      <c r="M1049" s="13" t="s">
        <v>29</v>
      </c>
      <c r="N1049" s="13">
        <v>2</v>
      </c>
      <c r="O1049" s="13">
        <v>150</v>
      </c>
      <c r="Q1049" s="18">
        <v>44052</v>
      </c>
      <c r="R1049" s="19">
        <v>0.84166666666666667</v>
      </c>
      <c r="S1049" s="17" t="s">
        <v>32</v>
      </c>
      <c r="T1049" s="17">
        <v>4.59</v>
      </c>
      <c r="U1049" s="17">
        <v>250</v>
      </c>
    </row>
    <row r="1050" spans="5:21" x14ac:dyDescent="0.25">
      <c r="E1050" s="10">
        <v>43973</v>
      </c>
      <c r="F1050" s="11">
        <v>0.76597222222222217</v>
      </c>
      <c r="G1050" t="s">
        <v>6</v>
      </c>
      <c r="H1050">
        <v>2.5</v>
      </c>
      <c r="I1050">
        <v>100</v>
      </c>
      <c r="K1050" s="14">
        <v>43841</v>
      </c>
      <c r="L1050" s="15">
        <v>0.54375000000000007</v>
      </c>
      <c r="M1050" s="13" t="s">
        <v>20</v>
      </c>
      <c r="N1050" s="13">
        <v>0.21</v>
      </c>
      <c r="O1050" s="13">
        <v>80</v>
      </c>
      <c r="Q1050" s="18">
        <v>43946</v>
      </c>
      <c r="R1050" s="19">
        <v>0.79861111111111116</v>
      </c>
      <c r="S1050" s="17" t="s">
        <v>10</v>
      </c>
      <c r="T1050" s="17">
        <v>5.47</v>
      </c>
      <c r="U1050" s="17">
        <v>400</v>
      </c>
    </row>
    <row r="1051" spans="5:21" x14ac:dyDescent="0.25">
      <c r="E1051" s="10">
        <v>43973</v>
      </c>
      <c r="F1051" s="11">
        <v>0.76874999999999993</v>
      </c>
      <c r="G1051" t="s">
        <v>6</v>
      </c>
      <c r="H1051">
        <v>2.2999999999999998</v>
      </c>
      <c r="I1051">
        <v>50</v>
      </c>
      <c r="K1051" s="14">
        <v>43841</v>
      </c>
      <c r="L1051" s="15">
        <v>0.55069444444444449</v>
      </c>
      <c r="M1051" s="13" t="s">
        <v>20</v>
      </c>
      <c r="N1051" s="13">
        <v>1.84</v>
      </c>
      <c r="O1051" s="13">
        <v>60</v>
      </c>
      <c r="Q1051" s="18">
        <v>43834</v>
      </c>
      <c r="R1051" s="19">
        <v>0.43472222222222223</v>
      </c>
      <c r="S1051" s="17" t="s">
        <v>19</v>
      </c>
      <c r="T1051" s="17">
        <v>4.3899999999999997</v>
      </c>
      <c r="U1051" s="17">
        <v>265</v>
      </c>
    </row>
    <row r="1052" spans="5:21" x14ac:dyDescent="0.25">
      <c r="E1052" s="10">
        <v>43973</v>
      </c>
      <c r="F1052" s="11">
        <v>0.71597222222222223</v>
      </c>
      <c r="G1052" t="s">
        <v>6</v>
      </c>
      <c r="H1052">
        <v>1.7</v>
      </c>
      <c r="I1052">
        <v>150</v>
      </c>
      <c r="K1052" s="14">
        <v>43841</v>
      </c>
      <c r="L1052" s="15">
        <v>0.68958333333333333</v>
      </c>
      <c r="M1052" s="13" t="s">
        <v>20</v>
      </c>
      <c r="N1052" s="13">
        <v>5.8</v>
      </c>
      <c r="O1052" s="13">
        <v>275</v>
      </c>
      <c r="Q1052" s="18">
        <v>43841</v>
      </c>
      <c r="R1052" s="19">
        <v>0.70000000000000007</v>
      </c>
      <c r="S1052" s="17" t="s">
        <v>9</v>
      </c>
      <c r="T1052" s="17">
        <v>0.34</v>
      </c>
      <c r="U1052" s="17">
        <v>100</v>
      </c>
    </row>
    <row r="1053" spans="5:21" x14ac:dyDescent="0.25">
      <c r="E1053" s="10">
        <v>43973</v>
      </c>
      <c r="F1053" s="11">
        <v>0.84027777777777779</v>
      </c>
      <c r="G1053" t="s">
        <v>6</v>
      </c>
      <c r="H1053">
        <v>1.35</v>
      </c>
      <c r="I1053">
        <v>400</v>
      </c>
      <c r="K1053" s="14">
        <v>43841</v>
      </c>
      <c r="L1053" s="15">
        <v>0.46597222222222223</v>
      </c>
      <c r="M1053" s="13" t="s">
        <v>20</v>
      </c>
      <c r="N1053" s="13">
        <v>6.33</v>
      </c>
      <c r="O1053" s="13">
        <v>1056</v>
      </c>
      <c r="Q1053" s="18">
        <v>43867</v>
      </c>
      <c r="R1053" s="19">
        <v>0.36458333333333331</v>
      </c>
      <c r="S1053" s="17" t="s">
        <v>14</v>
      </c>
      <c r="T1053" s="17">
        <v>7.48</v>
      </c>
      <c r="U1053" s="17">
        <v>100</v>
      </c>
    </row>
    <row r="1054" spans="5:21" x14ac:dyDescent="0.25">
      <c r="E1054" s="10">
        <v>43973</v>
      </c>
      <c r="F1054" s="11">
        <v>0.72638888888888886</v>
      </c>
      <c r="G1054" t="s">
        <v>6</v>
      </c>
      <c r="H1054">
        <v>0.2</v>
      </c>
      <c r="I1054">
        <v>50</v>
      </c>
      <c r="K1054" s="14">
        <v>43841</v>
      </c>
      <c r="L1054" s="15">
        <v>0.55486111111111114</v>
      </c>
      <c r="M1054" s="13" t="s">
        <v>20</v>
      </c>
      <c r="N1054" s="13">
        <v>0.22</v>
      </c>
      <c r="O1054" s="13">
        <v>150</v>
      </c>
      <c r="Q1054" s="18">
        <v>43933</v>
      </c>
      <c r="R1054" s="19">
        <v>0.87083333333333324</v>
      </c>
      <c r="S1054" s="17" t="s">
        <v>9</v>
      </c>
      <c r="T1054" s="17">
        <v>5.59</v>
      </c>
      <c r="U1054" s="17">
        <v>350</v>
      </c>
    </row>
    <row r="1055" spans="5:21" x14ac:dyDescent="0.25">
      <c r="E1055" s="10">
        <v>43973</v>
      </c>
      <c r="F1055" s="11">
        <v>0.71319444444444446</v>
      </c>
      <c r="G1055" t="s">
        <v>6</v>
      </c>
      <c r="H1055">
        <v>0.1</v>
      </c>
      <c r="I1055">
        <v>30</v>
      </c>
      <c r="K1055" s="14">
        <v>43866</v>
      </c>
      <c r="L1055" s="15">
        <v>0.72083333333333333</v>
      </c>
      <c r="M1055" s="13" t="s">
        <v>20</v>
      </c>
      <c r="N1055" s="13">
        <v>1.32</v>
      </c>
      <c r="O1055" s="13">
        <v>60</v>
      </c>
      <c r="Q1055" s="18">
        <v>44023</v>
      </c>
      <c r="R1055" s="19">
        <v>0.7909722222222223</v>
      </c>
      <c r="S1055" s="17" t="s">
        <v>6</v>
      </c>
      <c r="T1055" s="17">
        <v>0.14000000000000001</v>
      </c>
      <c r="U1055" s="17">
        <v>45</v>
      </c>
    </row>
    <row r="1056" spans="5:21" x14ac:dyDescent="0.25">
      <c r="E1056" s="10">
        <v>43974</v>
      </c>
      <c r="F1056" s="11">
        <v>0.71805555555555556</v>
      </c>
      <c r="G1056" t="s">
        <v>6</v>
      </c>
      <c r="H1056">
        <v>0.38</v>
      </c>
      <c r="I1056">
        <v>30</v>
      </c>
      <c r="K1056" s="14">
        <v>43867</v>
      </c>
      <c r="L1056" s="15">
        <v>9.2361111111111116E-2</v>
      </c>
      <c r="M1056" s="13" t="s">
        <v>20</v>
      </c>
      <c r="N1056" s="13">
        <v>1.29</v>
      </c>
      <c r="O1056" s="13">
        <v>400</v>
      </c>
      <c r="Q1056" s="18">
        <v>44047</v>
      </c>
      <c r="R1056" s="19">
        <v>0.18541666666666667</v>
      </c>
      <c r="S1056" s="17" t="s">
        <v>18</v>
      </c>
      <c r="T1056" s="17">
        <v>1.47</v>
      </c>
      <c r="U1056" s="17">
        <v>75</v>
      </c>
    </row>
    <row r="1057" spans="5:21" x14ac:dyDescent="0.25">
      <c r="E1057" s="10">
        <v>43975</v>
      </c>
      <c r="F1057" s="11">
        <v>0.7993055555555556</v>
      </c>
      <c r="G1057" t="s">
        <v>6</v>
      </c>
      <c r="H1057">
        <v>0.47</v>
      </c>
      <c r="I1057">
        <v>50</v>
      </c>
      <c r="K1057" s="14">
        <v>43867</v>
      </c>
      <c r="L1057" s="15">
        <v>8.1250000000000003E-2</v>
      </c>
      <c r="M1057" s="13" t="s">
        <v>20</v>
      </c>
      <c r="N1057" s="13">
        <v>9.91</v>
      </c>
      <c r="O1057" s="13">
        <v>700</v>
      </c>
      <c r="Q1057" s="18">
        <v>44052</v>
      </c>
      <c r="R1057" s="19">
        <v>0.67708333333333337</v>
      </c>
      <c r="S1057" s="17" t="s">
        <v>19</v>
      </c>
      <c r="T1057" s="17">
        <v>0.17</v>
      </c>
      <c r="U1057" s="17">
        <v>100</v>
      </c>
    </row>
    <row r="1058" spans="5:21" x14ac:dyDescent="0.25">
      <c r="E1058" s="10">
        <v>43976</v>
      </c>
      <c r="F1058" s="11">
        <v>0.67013888888888884</v>
      </c>
      <c r="G1058" t="s">
        <v>6</v>
      </c>
      <c r="H1058">
        <v>0.53</v>
      </c>
      <c r="I1058">
        <v>100</v>
      </c>
      <c r="K1058" s="14">
        <v>43873</v>
      </c>
      <c r="L1058" s="15">
        <v>0.71736111111111101</v>
      </c>
      <c r="M1058" s="13" t="s">
        <v>20</v>
      </c>
      <c r="N1058" s="13">
        <v>3.75</v>
      </c>
      <c r="O1058" s="13">
        <v>400</v>
      </c>
      <c r="Q1058" s="18">
        <v>43945</v>
      </c>
      <c r="R1058" s="19">
        <v>0.75902777777777775</v>
      </c>
      <c r="S1058" s="17" t="s">
        <v>6</v>
      </c>
      <c r="T1058" s="17">
        <v>0.05</v>
      </c>
      <c r="U1058" s="17">
        <v>50</v>
      </c>
    </row>
    <row r="1059" spans="5:21" x14ac:dyDescent="0.25">
      <c r="E1059" s="10">
        <v>43978</v>
      </c>
      <c r="F1059" s="11">
        <v>0.65972222222222221</v>
      </c>
      <c r="G1059" t="s">
        <v>6</v>
      </c>
      <c r="H1059">
        <v>1.75</v>
      </c>
      <c r="I1059">
        <v>50</v>
      </c>
      <c r="K1059" s="14">
        <v>43874</v>
      </c>
      <c r="L1059" s="15">
        <v>0.17500000000000002</v>
      </c>
      <c r="M1059" s="13" t="s">
        <v>20</v>
      </c>
      <c r="N1059" s="13">
        <v>2.1</v>
      </c>
      <c r="O1059" s="13">
        <v>300</v>
      </c>
      <c r="Q1059" s="18">
        <v>44006</v>
      </c>
      <c r="R1059" s="19">
        <v>0.4770833333333333</v>
      </c>
      <c r="S1059" s="17" t="s">
        <v>24</v>
      </c>
      <c r="T1059" s="17">
        <v>0.73</v>
      </c>
      <c r="U1059" s="17">
        <v>40</v>
      </c>
    </row>
    <row r="1060" spans="5:21" x14ac:dyDescent="0.25">
      <c r="E1060" s="10">
        <v>43978</v>
      </c>
      <c r="F1060" s="11">
        <v>0.59930555555555554</v>
      </c>
      <c r="G1060" t="s">
        <v>6</v>
      </c>
      <c r="H1060">
        <v>1.45</v>
      </c>
      <c r="I1060">
        <v>75</v>
      </c>
      <c r="K1060" s="14">
        <v>43893</v>
      </c>
      <c r="L1060" s="15">
        <v>0.26944444444444443</v>
      </c>
      <c r="M1060" s="13" t="s">
        <v>20</v>
      </c>
      <c r="N1060" s="13">
        <v>6.21</v>
      </c>
      <c r="O1060" s="13">
        <v>525</v>
      </c>
      <c r="Q1060" s="18">
        <v>43933</v>
      </c>
      <c r="R1060" s="19">
        <v>0.64861111111111114</v>
      </c>
      <c r="S1060" s="17" t="s">
        <v>20</v>
      </c>
      <c r="T1060" s="17">
        <v>1.79</v>
      </c>
      <c r="U1060" s="17">
        <v>350</v>
      </c>
    </row>
    <row r="1061" spans="5:21" x14ac:dyDescent="0.25">
      <c r="E1061" s="10">
        <v>43978</v>
      </c>
      <c r="F1061" s="11">
        <v>0.59791666666666665</v>
      </c>
      <c r="G1061" t="s">
        <v>6</v>
      </c>
      <c r="H1061">
        <v>0.8</v>
      </c>
      <c r="I1061">
        <v>50</v>
      </c>
      <c r="K1061" s="14">
        <v>43893</v>
      </c>
      <c r="L1061" s="15">
        <v>0.25277777777777777</v>
      </c>
      <c r="M1061" s="13" t="s">
        <v>20</v>
      </c>
      <c r="N1061" s="13">
        <v>4.34</v>
      </c>
      <c r="O1061" s="13">
        <v>220</v>
      </c>
      <c r="Q1061" s="18">
        <v>43841</v>
      </c>
      <c r="R1061" s="19">
        <v>0.3979166666666667</v>
      </c>
      <c r="S1061" s="17" t="s">
        <v>24</v>
      </c>
      <c r="T1061" s="17">
        <v>2.96</v>
      </c>
      <c r="U1061" s="17">
        <v>250</v>
      </c>
    </row>
    <row r="1062" spans="5:21" x14ac:dyDescent="0.25">
      <c r="E1062" s="10">
        <v>44001</v>
      </c>
      <c r="F1062" s="11">
        <v>0.69444444444444453</v>
      </c>
      <c r="G1062" t="s">
        <v>6</v>
      </c>
      <c r="H1062">
        <v>0.71</v>
      </c>
      <c r="I1062">
        <v>50</v>
      </c>
      <c r="K1062" s="14">
        <v>43914</v>
      </c>
      <c r="L1062" s="15">
        <v>0.69374999999999998</v>
      </c>
      <c r="M1062" s="13" t="s">
        <v>20</v>
      </c>
      <c r="N1062" s="13">
        <v>8.16</v>
      </c>
      <c r="O1062" s="13">
        <v>200</v>
      </c>
      <c r="Q1062" s="18">
        <v>44114</v>
      </c>
      <c r="R1062" s="19">
        <v>0.76111111111111107</v>
      </c>
      <c r="S1062" s="17" t="s">
        <v>9</v>
      </c>
      <c r="T1062" s="17">
        <v>1.68</v>
      </c>
      <c r="U1062" s="17">
        <v>250</v>
      </c>
    </row>
    <row r="1063" spans="5:21" x14ac:dyDescent="0.25">
      <c r="E1063" s="10">
        <v>44001</v>
      </c>
      <c r="F1063" s="11">
        <v>0.6958333333333333</v>
      </c>
      <c r="G1063" t="s">
        <v>6</v>
      </c>
      <c r="H1063">
        <v>0.43</v>
      </c>
      <c r="I1063">
        <v>50</v>
      </c>
      <c r="K1063" s="14">
        <v>43921</v>
      </c>
      <c r="L1063" s="15">
        <v>0.39097222222222222</v>
      </c>
      <c r="M1063" s="13" t="s">
        <v>20</v>
      </c>
      <c r="N1063" s="13">
        <v>3.33</v>
      </c>
      <c r="O1063" s="13">
        <v>190</v>
      </c>
      <c r="Q1063" s="18">
        <v>43933</v>
      </c>
      <c r="R1063" s="19">
        <v>0.99513888888888891</v>
      </c>
      <c r="S1063" s="17" t="s">
        <v>9</v>
      </c>
      <c r="T1063" s="17">
        <v>3.76</v>
      </c>
      <c r="U1063" s="17">
        <v>50</v>
      </c>
    </row>
    <row r="1064" spans="5:21" x14ac:dyDescent="0.25">
      <c r="E1064" s="10">
        <v>44004</v>
      </c>
      <c r="F1064" s="11">
        <v>0.8125</v>
      </c>
      <c r="G1064" t="s">
        <v>6</v>
      </c>
      <c r="H1064">
        <v>1.29</v>
      </c>
      <c r="I1064">
        <v>25</v>
      </c>
      <c r="K1064" s="14">
        <v>43921</v>
      </c>
      <c r="L1064" s="15">
        <v>0.44027777777777777</v>
      </c>
      <c r="M1064" s="13" t="s">
        <v>20</v>
      </c>
      <c r="N1064" s="13">
        <v>29.97</v>
      </c>
      <c r="O1064" s="13">
        <v>350</v>
      </c>
      <c r="Q1064" s="18">
        <v>43959</v>
      </c>
      <c r="R1064" s="19">
        <v>0.56597222222222221</v>
      </c>
      <c r="S1064" s="17" t="s">
        <v>26</v>
      </c>
      <c r="T1064" s="17">
        <v>0.63</v>
      </c>
      <c r="U1064" s="17">
        <v>100</v>
      </c>
    </row>
    <row r="1065" spans="5:21" x14ac:dyDescent="0.25">
      <c r="E1065" s="10">
        <v>44023</v>
      </c>
      <c r="F1065" s="11">
        <v>0.7909722222222223</v>
      </c>
      <c r="G1065" t="s">
        <v>6</v>
      </c>
      <c r="H1065">
        <v>0.14000000000000001</v>
      </c>
      <c r="I1065">
        <v>45</v>
      </c>
      <c r="K1065" s="14">
        <v>43921</v>
      </c>
      <c r="L1065" s="15">
        <v>0.41041666666666665</v>
      </c>
      <c r="M1065" s="13" t="s">
        <v>20</v>
      </c>
      <c r="N1065" s="13">
        <v>0.83</v>
      </c>
      <c r="O1065" s="13">
        <v>180</v>
      </c>
      <c r="Q1065" s="18">
        <v>43940</v>
      </c>
      <c r="R1065" s="19">
        <v>0.9458333333333333</v>
      </c>
      <c r="S1065" s="17" t="s">
        <v>20</v>
      </c>
      <c r="T1065" s="17">
        <v>0.71</v>
      </c>
      <c r="U1065" s="17">
        <v>50</v>
      </c>
    </row>
    <row r="1066" spans="5:21" x14ac:dyDescent="0.25">
      <c r="E1066" s="10">
        <v>44026</v>
      </c>
      <c r="F1066" s="11">
        <v>0.79305555555555562</v>
      </c>
      <c r="G1066" t="s">
        <v>6</v>
      </c>
      <c r="H1066">
        <v>1.34</v>
      </c>
      <c r="I1066">
        <v>50</v>
      </c>
      <c r="K1066" s="14">
        <v>43921</v>
      </c>
      <c r="L1066" s="15">
        <v>0.3979166666666667</v>
      </c>
      <c r="M1066" s="13" t="s">
        <v>20</v>
      </c>
      <c r="N1066" s="13">
        <v>0.14000000000000001</v>
      </c>
      <c r="O1066" s="13">
        <v>80</v>
      </c>
      <c r="Q1066" s="18">
        <v>43944</v>
      </c>
      <c r="R1066" s="19">
        <v>8.819444444444445E-2</v>
      </c>
      <c r="S1066" s="17" t="s">
        <v>24</v>
      </c>
      <c r="T1066" s="17">
        <v>18.3</v>
      </c>
      <c r="U1066" s="17">
        <v>1760</v>
      </c>
    </row>
    <row r="1067" spans="5:21" x14ac:dyDescent="0.25">
      <c r="E1067" s="10">
        <v>44034</v>
      </c>
      <c r="F1067" s="11">
        <v>0.5708333333333333</v>
      </c>
      <c r="G1067" t="s">
        <v>6</v>
      </c>
      <c r="H1067">
        <v>0.01</v>
      </c>
      <c r="I1067">
        <v>10</v>
      </c>
      <c r="K1067" s="14">
        <v>43921</v>
      </c>
      <c r="L1067" s="15">
        <v>0.39861111111111108</v>
      </c>
      <c r="M1067" s="13" t="s">
        <v>20</v>
      </c>
      <c r="N1067" s="13">
        <v>1.61</v>
      </c>
      <c r="O1067" s="13">
        <v>80</v>
      </c>
      <c r="Q1067" s="18">
        <v>43918</v>
      </c>
      <c r="R1067" s="19">
        <v>0.71875</v>
      </c>
      <c r="S1067" s="17" t="s">
        <v>23</v>
      </c>
      <c r="T1067" s="17">
        <v>7.38</v>
      </c>
      <c r="U1067" s="17">
        <v>50</v>
      </c>
    </row>
    <row r="1068" spans="5:21" x14ac:dyDescent="0.25">
      <c r="E1068" s="10">
        <v>44037</v>
      </c>
      <c r="F1068" s="11">
        <v>0.88263888888888886</v>
      </c>
      <c r="G1068" t="s">
        <v>6</v>
      </c>
      <c r="H1068">
        <v>2.52</v>
      </c>
      <c r="I1068">
        <v>100</v>
      </c>
      <c r="K1068" s="14">
        <v>43921</v>
      </c>
      <c r="L1068" s="15">
        <v>0.44027777777777777</v>
      </c>
      <c r="M1068" s="13" t="s">
        <v>20</v>
      </c>
      <c r="N1068" s="13">
        <v>7.85</v>
      </c>
      <c r="O1068" s="13">
        <v>350</v>
      </c>
      <c r="Q1068" s="18">
        <v>43934</v>
      </c>
      <c r="R1068" s="19">
        <v>8.4027777777777771E-2</v>
      </c>
      <c r="S1068" s="17" t="s">
        <v>9</v>
      </c>
      <c r="T1068" s="17">
        <v>1.66</v>
      </c>
      <c r="U1068" s="17">
        <v>50</v>
      </c>
    </row>
    <row r="1069" spans="5:21" x14ac:dyDescent="0.25">
      <c r="E1069" s="10">
        <v>44037</v>
      </c>
      <c r="F1069" s="11">
        <v>0.89583333333333337</v>
      </c>
      <c r="G1069" t="s">
        <v>6</v>
      </c>
      <c r="H1069">
        <v>0.6</v>
      </c>
      <c r="I1069">
        <v>100</v>
      </c>
      <c r="K1069" s="14">
        <v>43933</v>
      </c>
      <c r="L1069" s="15">
        <v>0.62569444444444444</v>
      </c>
      <c r="M1069" s="13" t="s">
        <v>20</v>
      </c>
      <c r="N1069" s="13">
        <v>1.51</v>
      </c>
      <c r="O1069" s="13">
        <v>200</v>
      </c>
      <c r="Q1069" s="18">
        <v>43946</v>
      </c>
      <c r="R1069" s="19">
        <v>0.51736111111111105</v>
      </c>
      <c r="S1069" s="17" t="s">
        <v>22</v>
      </c>
      <c r="T1069" s="17">
        <v>0.37</v>
      </c>
      <c r="U1069" s="17">
        <v>40</v>
      </c>
    </row>
    <row r="1070" spans="5:21" x14ac:dyDescent="0.25">
      <c r="E1070" s="10">
        <v>44037</v>
      </c>
      <c r="F1070" s="11">
        <v>0.4916666666666667</v>
      </c>
      <c r="G1070" t="s">
        <v>6</v>
      </c>
      <c r="H1070">
        <v>0.1</v>
      </c>
      <c r="I1070">
        <v>25</v>
      </c>
      <c r="K1070" s="14">
        <v>43933</v>
      </c>
      <c r="L1070" s="15">
        <v>0.69930555555555562</v>
      </c>
      <c r="M1070" s="13" t="s">
        <v>20</v>
      </c>
      <c r="N1070" s="13">
        <v>3.84</v>
      </c>
      <c r="O1070" s="13">
        <v>225</v>
      </c>
      <c r="Q1070" s="18">
        <v>44091</v>
      </c>
      <c r="R1070" s="19">
        <v>0.8027777777777777</v>
      </c>
      <c r="S1070" s="17" t="s">
        <v>14</v>
      </c>
      <c r="T1070" s="17">
        <v>0.15</v>
      </c>
      <c r="U1070" s="17">
        <v>25</v>
      </c>
    </row>
    <row r="1071" spans="5:21" x14ac:dyDescent="0.25">
      <c r="E1071" s="10">
        <v>44038</v>
      </c>
      <c r="F1071" s="11">
        <v>0.10555555555555556</v>
      </c>
      <c r="G1071" t="s">
        <v>6</v>
      </c>
      <c r="H1071">
        <v>3.43</v>
      </c>
      <c r="I1071">
        <v>50</v>
      </c>
      <c r="K1071" s="14">
        <v>43933</v>
      </c>
      <c r="L1071" s="15">
        <v>0.8847222222222223</v>
      </c>
      <c r="M1071" s="13" t="s">
        <v>20</v>
      </c>
      <c r="N1071" s="13">
        <v>2.42</v>
      </c>
      <c r="O1071" s="13">
        <v>350</v>
      </c>
      <c r="Q1071" s="18">
        <v>43867</v>
      </c>
      <c r="R1071" s="19">
        <v>0.44444444444444442</v>
      </c>
      <c r="S1071" s="17" t="s">
        <v>14</v>
      </c>
      <c r="T1071" s="17">
        <v>6.19</v>
      </c>
      <c r="U1071" s="17">
        <v>75</v>
      </c>
    </row>
    <row r="1072" spans="5:21" x14ac:dyDescent="0.25">
      <c r="E1072" s="10">
        <v>44038</v>
      </c>
      <c r="F1072" s="11">
        <v>0.17361111111111113</v>
      </c>
      <c r="G1072" t="s">
        <v>6</v>
      </c>
      <c r="H1072">
        <v>3.27</v>
      </c>
      <c r="I1072">
        <v>20</v>
      </c>
      <c r="K1072" s="14">
        <v>43933</v>
      </c>
      <c r="L1072" s="15">
        <v>0.84166666666666667</v>
      </c>
      <c r="M1072" s="13" t="s">
        <v>20</v>
      </c>
      <c r="N1072" s="13">
        <v>2.5</v>
      </c>
      <c r="O1072" s="13">
        <v>350</v>
      </c>
      <c r="Q1072" s="18">
        <v>43918</v>
      </c>
      <c r="R1072" s="19">
        <v>0.70486111111111116</v>
      </c>
      <c r="S1072" s="17" t="s">
        <v>23</v>
      </c>
      <c r="T1072" s="17">
        <v>0.32</v>
      </c>
      <c r="U1072" s="17">
        <v>20</v>
      </c>
    </row>
    <row r="1073" spans="5:21" x14ac:dyDescent="0.25">
      <c r="E1073" s="10">
        <v>44044</v>
      </c>
      <c r="F1073" s="11">
        <v>0.65416666666666667</v>
      </c>
      <c r="G1073" t="s">
        <v>6</v>
      </c>
      <c r="H1073">
        <v>0.01</v>
      </c>
      <c r="I1073">
        <v>20</v>
      </c>
      <c r="K1073" s="14">
        <v>43933</v>
      </c>
      <c r="L1073" s="15">
        <v>0.70138888888888884</v>
      </c>
      <c r="M1073" s="13" t="s">
        <v>20</v>
      </c>
      <c r="N1073" s="13">
        <v>5.56</v>
      </c>
      <c r="O1073" s="13">
        <v>500</v>
      </c>
      <c r="Q1073" s="18">
        <v>44006</v>
      </c>
      <c r="R1073" s="19">
        <v>0.51527777777777783</v>
      </c>
      <c r="S1073" s="17" t="s">
        <v>24</v>
      </c>
      <c r="T1073" s="17">
        <v>0.89</v>
      </c>
      <c r="U1073" s="17">
        <v>50</v>
      </c>
    </row>
    <row r="1074" spans="5:21" x14ac:dyDescent="0.25">
      <c r="E1074" s="10">
        <v>44059</v>
      </c>
      <c r="F1074" s="11">
        <v>0.57361111111111118</v>
      </c>
      <c r="G1074" t="s">
        <v>6</v>
      </c>
      <c r="H1074">
        <v>1.83</v>
      </c>
      <c r="I1074">
        <v>200</v>
      </c>
      <c r="K1074" s="14">
        <v>43933</v>
      </c>
      <c r="L1074" s="15">
        <v>0.8354166666666667</v>
      </c>
      <c r="M1074" s="13" t="s">
        <v>20</v>
      </c>
      <c r="N1074" s="13">
        <v>0.41</v>
      </c>
      <c r="O1074" s="13">
        <v>100</v>
      </c>
      <c r="Q1074" s="18">
        <v>44057</v>
      </c>
      <c r="R1074" s="19">
        <v>0.63680555555555551</v>
      </c>
      <c r="S1074" s="17" t="s">
        <v>8</v>
      </c>
      <c r="T1074" s="17">
        <v>1.2</v>
      </c>
      <c r="U1074" s="17">
        <v>75</v>
      </c>
    </row>
    <row r="1075" spans="5:21" x14ac:dyDescent="0.25">
      <c r="E1075" s="10">
        <v>44075</v>
      </c>
      <c r="F1075" s="11">
        <v>0.75694444444444453</v>
      </c>
      <c r="G1075" t="s">
        <v>6</v>
      </c>
      <c r="H1075">
        <v>0.01</v>
      </c>
      <c r="I1075">
        <v>30</v>
      </c>
      <c r="K1075" s="14">
        <v>43933</v>
      </c>
      <c r="L1075" s="15">
        <v>0.71805555555555556</v>
      </c>
      <c r="M1075" s="13" t="s">
        <v>20</v>
      </c>
      <c r="N1075" s="13">
        <v>12.19</v>
      </c>
      <c r="O1075" s="13">
        <v>875</v>
      </c>
      <c r="Q1075" s="18">
        <v>44053</v>
      </c>
      <c r="R1075" s="19">
        <v>0.62777777777777777</v>
      </c>
      <c r="S1075" s="17" t="s">
        <v>15</v>
      </c>
      <c r="T1075" s="17">
        <v>1.47</v>
      </c>
      <c r="U1075" s="17">
        <v>150</v>
      </c>
    </row>
    <row r="1076" spans="5:21" x14ac:dyDescent="0.25">
      <c r="E1076" s="10">
        <v>44159</v>
      </c>
      <c r="F1076" s="11">
        <v>0.86875000000000002</v>
      </c>
      <c r="G1076" t="s">
        <v>6</v>
      </c>
      <c r="H1076">
        <v>5.05</v>
      </c>
      <c r="I1076">
        <v>150</v>
      </c>
      <c r="K1076" s="14">
        <v>43933</v>
      </c>
      <c r="L1076" s="15">
        <v>0.89027777777777783</v>
      </c>
      <c r="M1076" s="13" t="s">
        <v>20</v>
      </c>
      <c r="N1076" s="13">
        <v>3.56</v>
      </c>
      <c r="O1076" s="13">
        <v>110</v>
      </c>
      <c r="Q1076" s="18">
        <v>43968</v>
      </c>
      <c r="R1076" s="19">
        <v>0.62916666666666665</v>
      </c>
      <c r="S1076" s="17" t="s">
        <v>15</v>
      </c>
      <c r="T1076" s="17">
        <v>4.04</v>
      </c>
      <c r="U1076" s="17">
        <v>75</v>
      </c>
    </row>
    <row r="1077" spans="5:21" x14ac:dyDescent="0.25">
      <c r="E1077" s="10">
        <v>44160</v>
      </c>
      <c r="F1077" s="11">
        <v>7.7083333333333337E-2</v>
      </c>
      <c r="G1077" t="s">
        <v>6</v>
      </c>
      <c r="H1077">
        <v>0.36</v>
      </c>
      <c r="I1077">
        <v>75</v>
      </c>
      <c r="K1077" s="14">
        <v>43933</v>
      </c>
      <c r="L1077" s="15">
        <v>0.86805555555555547</v>
      </c>
      <c r="M1077" s="13" t="s">
        <v>20</v>
      </c>
      <c r="N1077" s="13">
        <v>1.95</v>
      </c>
      <c r="O1077" s="13">
        <v>154</v>
      </c>
      <c r="Q1077" s="18">
        <v>44032</v>
      </c>
      <c r="R1077" s="19">
        <v>0.58402777777777781</v>
      </c>
      <c r="S1077" s="17" t="s">
        <v>15</v>
      </c>
      <c r="T1077" s="17">
        <v>0.26</v>
      </c>
      <c r="U1077" s="17">
        <v>30</v>
      </c>
    </row>
    <row r="1078" spans="5:21" x14ac:dyDescent="0.25">
      <c r="E1078" s="10">
        <v>44188</v>
      </c>
      <c r="F1078" s="11">
        <v>0.66249999999999998</v>
      </c>
      <c r="G1078" t="s">
        <v>6</v>
      </c>
      <c r="H1078">
        <v>1.23</v>
      </c>
      <c r="I1078">
        <v>20</v>
      </c>
      <c r="K1078" s="14">
        <v>43933</v>
      </c>
      <c r="L1078" s="15">
        <v>0.71111111111111114</v>
      </c>
      <c r="M1078" s="13" t="s">
        <v>20</v>
      </c>
      <c r="N1078" s="13">
        <v>0.78</v>
      </c>
      <c r="O1078" s="13">
        <v>115</v>
      </c>
      <c r="Q1078" s="18">
        <v>43867</v>
      </c>
      <c r="R1078" s="19">
        <v>0.4694444444444445</v>
      </c>
      <c r="S1078" s="17" t="s">
        <v>14</v>
      </c>
      <c r="T1078" s="17">
        <v>17.149999999999999</v>
      </c>
      <c r="U1078" s="17">
        <v>150</v>
      </c>
    </row>
    <row r="1079" spans="5:21" x14ac:dyDescent="0.25">
      <c r="E1079" s="10">
        <v>44188</v>
      </c>
      <c r="F1079" s="11">
        <v>0.7909722222222223</v>
      </c>
      <c r="G1079" t="s">
        <v>6</v>
      </c>
      <c r="H1079">
        <v>0.39</v>
      </c>
      <c r="I1079">
        <v>45</v>
      </c>
      <c r="K1079" s="14">
        <v>43933</v>
      </c>
      <c r="L1079" s="15">
        <v>0.79999999999999993</v>
      </c>
      <c r="M1079" s="13" t="s">
        <v>20</v>
      </c>
      <c r="N1079" s="13">
        <v>2.9</v>
      </c>
      <c r="O1079" s="13">
        <v>1000</v>
      </c>
      <c r="Q1079" s="18">
        <v>44047</v>
      </c>
      <c r="R1079" s="19">
        <v>0.7284722222222223</v>
      </c>
      <c r="S1079" s="17" t="s">
        <v>16</v>
      </c>
      <c r="T1079" s="17">
        <v>0.02</v>
      </c>
      <c r="U1079" s="17">
        <v>10</v>
      </c>
    </row>
    <row r="1080" spans="5:21" x14ac:dyDescent="0.25">
      <c r="E1080" s="10">
        <v>44195</v>
      </c>
      <c r="F1080" s="11">
        <v>0.44513888888888892</v>
      </c>
      <c r="G1080" t="s">
        <v>6</v>
      </c>
      <c r="H1080">
        <v>0.98</v>
      </c>
      <c r="I1080">
        <v>75</v>
      </c>
      <c r="K1080" s="14">
        <v>43933</v>
      </c>
      <c r="L1080" s="15">
        <v>0.63750000000000007</v>
      </c>
      <c r="M1080" s="13" t="s">
        <v>20</v>
      </c>
      <c r="N1080" s="13">
        <v>5.45</v>
      </c>
      <c r="O1080" s="13">
        <v>300</v>
      </c>
      <c r="Q1080" s="18">
        <v>43933</v>
      </c>
      <c r="R1080" s="19">
        <v>0.12847222222222224</v>
      </c>
      <c r="S1080" s="17" t="s">
        <v>6</v>
      </c>
      <c r="T1080" s="17">
        <v>5.12</v>
      </c>
      <c r="U1080" s="17">
        <v>300</v>
      </c>
    </row>
    <row r="1081" spans="5:21" x14ac:dyDescent="0.25">
      <c r="E1081" s="10">
        <v>43868</v>
      </c>
      <c r="F1081" s="11">
        <v>0.2638888888888889</v>
      </c>
      <c r="G1081" t="s">
        <v>35</v>
      </c>
      <c r="H1081">
        <v>3.36</v>
      </c>
      <c r="I1081">
        <v>250</v>
      </c>
      <c r="K1081" s="14">
        <v>43933</v>
      </c>
      <c r="L1081" s="15">
        <v>0.86805555555555547</v>
      </c>
      <c r="M1081" s="13" t="s">
        <v>20</v>
      </c>
      <c r="N1081" s="13">
        <v>7.54</v>
      </c>
      <c r="O1081" s="13">
        <v>350</v>
      </c>
      <c r="Q1081" s="18">
        <v>44022</v>
      </c>
      <c r="R1081" s="19">
        <v>0.64930555555555558</v>
      </c>
      <c r="S1081" s="17" t="s">
        <v>16</v>
      </c>
      <c r="T1081" s="17">
        <v>14.81</v>
      </c>
      <c r="U1081" s="17">
        <v>250</v>
      </c>
    </row>
    <row r="1082" spans="5:21" x14ac:dyDescent="0.25">
      <c r="E1082" s="10">
        <v>44044</v>
      </c>
      <c r="F1082" s="11">
        <v>0.68402777777777779</v>
      </c>
      <c r="G1082" t="s">
        <v>35</v>
      </c>
      <c r="H1082">
        <v>1.2</v>
      </c>
      <c r="I1082">
        <v>75</v>
      </c>
      <c r="K1082" s="14">
        <v>43933</v>
      </c>
      <c r="L1082" s="15">
        <v>0.6694444444444444</v>
      </c>
      <c r="M1082" s="13" t="s">
        <v>20</v>
      </c>
      <c r="N1082" s="13">
        <v>8.98</v>
      </c>
      <c r="O1082" s="13">
        <v>950</v>
      </c>
      <c r="Q1082" s="18">
        <v>43929</v>
      </c>
      <c r="R1082" s="19">
        <v>0.76527777777777783</v>
      </c>
      <c r="S1082" s="17" t="s">
        <v>9</v>
      </c>
      <c r="T1082" s="17">
        <v>4.41</v>
      </c>
      <c r="U1082" s="17">
        <v>300</v>
      </c>
    </row>
    <row r="1083" spans="5:21" x14ac:dyDescent="0.25">
      <c r="E1083" s="10">
        <v>44047</v>
      </c>
      <c r="F1083" s="11">
        <v>3.7499999999999999E-2</v>
      </c>
      <c r="G1083" t="s">
        <v>35</v>
      </c>
      <c r="H1083">
        <v>21</v>
      </c>
      <c r="I1083">
        <v>150</v>
      </c>
      <c r="K1083" s="14">
        <v>43933</v>
      </c>
      <c r="L1083" s="15">
        <v>0.8520833333333333</v>
      </c>
      <c r="M1083" s="13" t="s">
        <v>20</v>
      </c>
      <c r="N1083" s="13">
        <v>4.97</v>
      </c>
      <c r="O1083" s="13">
        <v>200</v>
      </c>
      <c r="Q1083" s="18">
        <v>44066</v>
      </c>
      <c r="R1083" s="19">
        <v>0.46736111111111112</v>
      </c>
      <c r="S1083" s="17" t="s">
        <v>20</v>
      </c>
      <c r="T1083" s="17">
        <v>0.12</v>
      </c>
      <c r="U1083" s="17">
        <v>50</v>
      </c>
    </row>
    <row r="1084" spans="5:21" x14ac:dyDescent="0.25">
      <c r="E1084" s="10">
        <v>44047</v>
      </c>
      <c r="F1084" s="11">
        <v>3.4027777777777775E-2</v>
      </c>
      <c r="G1084" t="s">
        <v>35</v>
      </c>
      <c r="H1084">
        <v>15.9</v>
      </c>
      <c r="I1084">
        <v>200</v>
      </c>
      <c r="K1084" s="14">
        <v>43933</v>
      </c>
      <c r="L1084" s="15">
        <v>0.6972222222222223</v>
      </c>
      <c r="M1084" s="13" t="s">
        <v>20</v>
      </c>
      <c r="N1084" s="13">
        <v>0.47</v>
      </c>
      <c r="O1084" s="13">
        <v>125</v>
      </c>
      <c r="Q1084" s="18">
        <v>44103</v>
      </c>
      <c r="R1084" s="19">
        <v>0.87222222222222223</v>
      </c>
      <c r="S1084" s="17" t="s">
        <v>35</v>
      </c>
      <c r="T1084" s="17">
        <v>4.3</v>
      </c>
      <c r="U1084" s="17">
        <v>75</v>
      </c>
    </row>
    <row r="1085" spans="5:21" x14ac:dyDescent="0.25">
      <c r="E1085" s="10">
        <v>44047</v>
      </c>
      <c r="F1085" s="11">
        <v>0.15277777777777776</v>
      </c>
      <c r="G1085" t="s">
        <v>35</v>
      </c>
      <c r="H1085">
        <v>15.61</v>
      </c>
      <c r="I1085">
        <v>500</v>
      </c>
      <c r="K1085" s="14">
        <v>43933</v>
      </c>
      <c r="L1085" s="15">
        <v>0.67638888888888893</v>
      </c>
      <c r="M1085" s="13" t="s">
        <v>20</v>
      </c>
      <c r="N1085" s="13">
        <v>6.91</v>
      </c>
      <c r="O1085" s="13">
        <v>940</v>
      </c>
      <c r="Q1085" s="18">
        <v>43934</v>
      </c>
      <c r="R1085" s="19">
        <v>9.5833333333333326E-2</v>
      </c>
      <c r="S1085" s="17" t="s">
        <v>9</v>
      </c>
      <c r="T1085" s="17">
        <v>14.22</v>
      </c>
      <c r="U1085" s="17">
        <v>220</v>
      </c>
    </row>
    <row r="1086" spans="5:21" x14ac:dyDescent="0.25">
      <c r="E1086" s="10">
        <v>44047</v>
      </c>
      <c r="F1086" s="11">
        <v>4.7222222222222221E-2</v>
      </c>
      <c r="G1086" t="s">
        <v>35</v>
      </c>
      <c r="H1086">
        <v>11.7</v>
      </c>
      <c r="I1086">
        <v>100</v>
      </c>
      <c r="K1086" s="14">
        <v>43933</v>
      </c>
      <c r="L1086" s="15">
        <v>0.81458333333333333</v>
      </c>
      <c r="M1086" s="13" t="s">
        <v>20</v>
      </c>
      <c r="N1086" s="13">
        <v>9.86</v>
      </c>
      <c r="O1086" s="13">
        <v>230</v>
      </c>
      <c r="Q1086" s="18">
        <v>44053</v>
      </c>
      <c r="R1086" s="19">
        <v>0.59166666666666667</v>
      </c>
      <c r="S1086" s="17" t="s">
        <v>15</v>
      </c>
      <c r="T1086" s="17">
        <v>1.21</v>
      </c>
      <c r="U1086" s="17">
        <v>40</v>
      </c>
    </row>
    <row r="1087" spans="5:21" x14ac:dyDescent="0.25">
      <c r="E1087" s="10">
        <v>44047</v>
      </c>
      <c r="F1087" s="11">
        <v>0.12013888888888889</v>
      </c>
      <c r="G1087" t="s">
        <v>35</v>
      </c>
      <c r="H1087">
        <v>4.7</v>
      </c>
      <c r="I1087">
        <v>250</v>
      </c>
      <c r="K1087" s="14">
        <v>43933</v>
      </c>
      <c r="L1087" s="15">
        <v>0.83333333333333337</v>
      </c>
      <c r="M1087" s="13" t="s">
        <v>20</v>
      </c>
      <c r="N1087" s="13">
        <v>5.42</v>
      </c>
      <c r="O1087" s="13">
        <v>300</v>
      </c>
      <c r="Q1087" s="18">
        <v>43902</v>
      </c>
      <c r="R1087" s="19">
        <v>0.83819444444444446</v>
      </c>
      <c r="S1087" s="17" t="s">
        <v>11</v>
      </c>
      <c r="T1087" s="17">
        <v>1.66</v>
      </c>
      <c r="U1087" s="17">
        <v>175</v>
      </c>
    </row>
    <row r="1088" spans="5:21" x14ac:dyDescent="0.25">
      <c r="E1088" s="10">
        <v>44047</v>
      </c>
      <c r="F1088" s="11">
        <v>0.17083333333333331</v>
      </c>
      <c r="G1088" t="s">
        <v>35</v>
      </c>
      <c r="H1088">
        <v>2.2000000000000002</v>
      </c>
      <c r="I1088">
        <v>100</v>
      </c>
      <c r="K1088" s="14">
        <v>43933</v>
      </c>
      <c r="L1088" s="15">
        <v>0.71527777777777779</v>
      </c>
      <c r="M1088" s="13" t="s">
        <v>20</v>
      </c>
      <c r="N1088" s="13">
        <v>21.74</v>
      </c>
      <c r="O1088" s="13">
        <v>440</v>
      </c>
      <c r="Q1088" s="18">
        <v>43944</v>
      </c>
      <c r="R1088" s="19">
        <v>0.50347222222222221</v>
      </c>
      <c r="S1088" s="17" t="s">
        <v>9</v>
      </c>
      <c r="T1088" s="17">
        <v>8.9700000000000006</v>
      </c>
      <c r="U1088" s="17">
        <v>50</v>
      </c>
    </row>
    <row r="1089" spans="5:21" x14ac:dyDescent="0.25">
      <c r="E1089" s="10">
        <v>44047</v>
      </c>
      <c r="F1089" s="11">
        <v>9.2361111111111116E-2</v>
      </c>
      <c r="G1089" t="s">
        <v>35</v>
      </c>
      <c r="H1089">
        <v>0.8</v>
      </c>
      <c r="I1089">
        <v>200</v>
      </c>
      <c r="K1089" s="14">
        <v>43933</v>
      </c>
      <c r="L1089" s="15">
        <v>0.71388888888888891</v>
      </c>
      <c r="M1089" s="13" t="s">
        <v>20</v>
      </c>
      <c r="N1089" s="13">
        <v>5.52</v>
      </c>
      <c r="O1089" s="13">
        <v>525</v>
      </c>
      <c r="Q1089" s="18">
        <v>44047</v>
      </c>
      <c r="R1089" s="19">
        <v>0.15277777777777776</v>
      </c>
      <c r="S1089" s="17" t="s">
        <v>35</v>
      </c>
      <c r="T1089" s="17">
        <v>15.61</v>
      </c>
      <c r="U1089" s="17">
        <v>500</v>
      </c>
    </row>
    <row r="1090" spans="5:21" x14ac:dyDescent="0.25">
      <c r="E1090" s="10">
        <v>44049</v>
      </c>
      <c r="F1090" s="11">
        <v>0.58472222222222225</v>
      </c>
      <c r="G1090" t="s">
        <v>35</v>
      </c>
      <c r="H1090">
        <v>2.58</v>
      </c>
      <c r="I1090">
        <v>100</v>
      </c>
      <c r="K1090" s="14">
        <v>43933</v>
      </c>
      <c r="L1090" s="15">
        <v>0.8618055555555556</v>
      </c>
      <c r="M1090" s="13" t="s">
        <v>20</v>
      </c>
      <c r="N1090" s="13">
        <v>8.0500000000000007</v>
      </c>
      <c r="O1090" s="13">
        <v>1000</v>
      </c>
      <c r="Q1090" s="18">
        <v>44054</v>
      </c>
      <c r="R1090" s="19">
        <v>0.74444444444444446</v>
      </c>
      <c r="S1090" s="17" t="s">
        <v>39</v>
      </c>
      <c r="T1090" s="17">
        <v>0.19</v>
      </c>
      <c r="U1090" s="17">
        <v>20</v>
      </c>
    </row>
    <row r="1091" spans="5:21" x14ac:dyDescent="0.25">
      <c r="E1091" s="10">
        <v>44049</v>
      </c>
      <c r="F1091" s="11">
        <v>0.61805555555555558</v>
      </c>
      <c r="G1091" t="s">
        <v>35</v>
      </c>
      <c r="H1091">
        <v>0.16</v>
      </c>
      <c r="I1091">
        <v>75</v>
      </c>
      <c r="K1091" s="14">
        <v>43933</v>
      </c>
      <c r="L1091" s="15">
        <v>0.65347222222222223</v>
      </c>
      <c r="M1091" s="13" t="s">
        <v>20</v>
      </c>
      <c r="N1091" s="13">
        <v>6.14</v>
      </c>
      <c r="O1091" s="13">
        <v>600</v>
      </c>
      <c r="Q1091" s="18">
        <v>43967</v>
      </c>
      <c r="R1091" s="19">
        <v>0.56597222222222221</v>
      </c>
      <c r="S1091" s="17" t="s">
        <v>29</v>
      </c>
      <c r="T1091" s="17">
        <v>0.99</v>
      </c>
      <c r="U1091" s="17">
        <v>20</v>
      </c>
    </row>
    <row r="1092" spans="5:21" x14ac:dyDescent="0.25">
      <c r="E1092" s="10">
        <v>44103</v>
      </c>
      <c r="F1092" s="11">
        <v>0.87222222222222223</v>
      </c>
      <c r="G1092" t="s">
        <v>35</v>
      </c>
      <c r="H1092">
        <v>4.3</v>
      </c>
      <c r="I1092">
        <v>75</v>
      </c>
      <c r="K1092" s="14">
        <v>43933</v>
      </c>
      <c r="L1092" s="15">
        <v>0.84444444444444444</v>
      </c>
      <c r="M1092" s="13" t="s">
        <v>20</v>
      </c>
      <c r="N1092" s="13">
        <v>0.77</v>
      </c>
      <c r="O1092" s="13">
        <v>100</v>
      </c>
      <c r="Q1092" s="18">
        <v>44046</v>
      </c>
      <c r="R1092" s="19">
        <v>0.96875</v>
      </c>
      <c r="S1092" s="17" t="s">
        <v>14</v>
      </c>
      <c r="T1092" s="17">
        <v>10</v>
      </c>
      <c r="U1092" s="17">
        <v>600</v>
      </c>
    </row>
    <row r="1093" spans="5:21" x14ac:dyDescent="0.25">
      <c r="E1093" s="10">
        <v>44103</v>
      </c>
      <c r="F1093" s="11">
        <v>0.85625000000000007</v>
      </c>
      <c r="G1093" t="s">
        <v>35</v>
      </c>
      <c r="H1093">
        <v>1.5</v>
      </c>
      <c r="I1093">
        <v>50</v>
      </c>
      <c r="K1093" s="14">
        <v>43933</v>
      </c>
      <c r="L1093" s="15">
        <v>0.89374999999999993</v>
      </c>
      <c r="M1093" s="13" t="s">
        <v>20</v>
      </c>
      <c r="N1093" s="13">
        <v>3.8</v>
      </c>
      <c r="O1093" s="13">
        <v>400</v>
      </c>
      <c r="Q1093" s="18">
        <v>43841</v>
      </c>
      <c r="R1093" s="19">
        <v>0.28472222222222221</v>
      </c>
      <c r="S1093" s="17" t="s">
        <v>11</v>
      </c>
      <c r="T1093" s="17">
        <v>4.4800000000000004</v>
      </c>
      <c r="U1093" s="17">
        <v>75</v>
      </c>
    </row>
    <row r="1094" spans="5:21" x14ac:dyDescent="0.25">
      <c r="E1094" s="10">
        <v>44189</v>
      </c>
      <c r="F1094" s="11">
        <v>0.93611111111111101</v>
      </c>
      <c r="G1094" t="s">
        <v>35</v>
      </c>
      <c r="H1094">
        <v>2.2000000000000002</v>
      </c>
      <c r="I1094">
        <v>200</v>
      </c>
      <c r="K1094" s="14">
        <v>43933</v>
      </c>
      <c r="L1094" s="15">
        <v>0.82708333333333339</v>
      </c>
      <c r="M1094" s="13" t="s">
        <v>20</v>
      </c>
      <c r="N1094" s="13">
        <v>2.97</v>
      </c>
      <c r="O1094" s="13">
        <v>200</v>
      </c>
      <c r="Q1094" s="18">
        <v>43933</v>
      </c>
      <c r="R1094" s="19">
        <v>0.93819444444444444</v>
      </c>
      <c r="S1094" s="17" t="s">
        <v>9</v>
      </c>
      <c r="T1094" s="17">
        <v>0.13</v>
      </c>
      <c r="U1094" s="17">
        <v>50</v>
      </c>
    </row>
    <row r="1095" spans="5:21" x14ac:dyDescent="0.25">
      <c r="E1095" s="10">
        <v>44189</v>
      </c>
      <c r="F1095" s="11">
        <v>0.93125000000000002</v>
      </c>
      <c r="G1095" t="s">
        <v>35</v>
      </c>
      <c r="H1095">
        <v>0.3</v>
      </c>
      <c r="I1095">
        <v>150</v>
      </c>
      <c r="K1095" s="14">
        <v>43933</v>
      </c>
      <c r="L1095" s="15">
        <v>0.64861111111111114</v>
      </c>
      <c r="M1095" s="13" t="s">
        <v>20</v>
      </c>
      <c r="N1095" s="13">
        <v>1.79</v>
      </c>
      <c r="O1095" s="13">
        <v>350</v>
      </c>
      <c r="Q1095" s="18">
        <v>43920</v>
      </c>
      <c r="R1095" s="19">
        <v>0.70138888888888884</v>
      </c>
      <c r="S1095" s="17" t="s">
        <v>6</v>
      </c>
      <c r="T1095" s="17">
        <v>0.21</v>
      </c>
      <c r="U1095" s="17">
        <v>20</v>
      </c>
    </row>
    <row r="1096" spans="5:21" x14ac:dyDescent="0.25">
      <c r="E1096" s="10">
        <v>43921</v>
      </c>
      <c r="F1096" s="11">
        <v>0.64583333333333337</v>
      </c>
      <c r="G1096" t="s">
        <v>46</v>
      </c>
      <c r="H1096">
        <v>0.1</v>
      </c>
      <c r="I1096">
        <v>20</v>
      </c>
      <c r="K1096" s="14">
        <v>43933</v>
      </c>
      <c r="L1096" s="15">
        <v>0.84097222222222223</v>
      </c>
      <c r="M1096" s="13" t="s">
        <v>20</v>
      </c>
      <c r="N1096" s="13">
        <v>0.35</v>
      </c>
      <c r="O1096" s="13">
        <v>70</v>
      </c>
      <c r="Q1096" s="18">
        <v>43934</v>
      </c>
      <c r="R1096" s="19">
        <v>0.21527777777777779</v>
      </c>
      <c r="S1096" s="17" t="s">
        <v>10</v>
      </c>
      <c r="T1096" s="17">
        <v>2.29</v>
      </c>
      <c r="U1096" s="17">
        <v>150</v>
      </c>
    </row>
    <row r="1097" spans="5:21" x14ac:dyDescent="0.25">
      <c r="E1097" s="10">
        <v>44114</v>
      </c>
      <c r="F1097" s="11">
        <v>0.23611111111111113</v>
      </c>
      <c r="G1097" t="s">
        <v>46</v>
      </c>
      <c r="H1097">
        <v>0.5</v>
      </c>
      <c r="I1097">
        <v>30</v>
      </c>
      <c r="K1097" s="14">
        <v>43940</v>
      </c>
      <c r="L1097" s="15">
        <v>0.90902777777777777</v>
      </c>
      <c r="M1097" s="13" t="s">
        <v>20</v>
      </c>
      <c r="N1097" s="13">
        <v>1.21</v>
      </c>
      <c r="O1097" s="13">
        <v>300</v>
      </c>
      <c r="Q1097" s="18">
        <v>43909</v>
      </c>
      <c r="R1097" s="19">
        <v>3.6805555555555557E-2</v>
      </c>
      <c r="S1097" s="17" t="s">
        <v>33</v>
      </c>
      <c r="T1097" s="17">
        <v>0.6</v>
      </c>
      <c r="U1097" s="17">
        <v>75</v>
      </c>
    </row>
    <row r="1098" spans="5:21" x14ac:dyDescent="0.25">
      <c r="E1098" s="10">
        <v>43918</v>
      </c>
      <c r="F1098" s="11">
        <v>0.81597222222222221</v>
      </c>
      <c r="G1098" t="s">
        <v>32</v>
      </c>
      <c r="H1098">
        <v>6.22</v>
      </c>
      <c r="I1098">
        <v>120</v>
      </c>
      <c r="K1098" s="14">
        <v>43940</v>
      </c>
      <c r="L1098" s="15">
        <v>0.93055555555555547</v>
      </c>
      <c r="M1098" s="13" t="s">
        <v>20</v>
      </c>
      <c r="N1098" s="13">
        <v>24.37</v>
      </c>
      <c r="O1098" s="13">
        <v>150</v>
      </c>
      <c r="Q1098" s="18">
        <v>44052</v>
      </c>
      <c r="R1098" s="19">
        <v>0.56944444444444442</v>
      </c>
      <c r="S1098" s="17" t="s">
        <v>31</v>
      </c>
      <c r="T1098" s="17">
        <v>2</v>
      </c>
      <c r="U1098" s="17">
        <v>40</v>
      </c>
    </row>
    <row r="1099" spans="5:21" x14ac:dyDescent="0.25">
      <c r="E1099" s="10">
        <v>44002</v>
      </c>
      <c r="F1099" s="11">
        <v>0.69097222222222221</v>
      </c>
      <c r="G1099" t="s">
        <v>32</v>
      </c>
      <c r="H1099">
        <v>3.37</v>
      </c>
      <c r="I1099">
        <v>75</v>
      </c>
      <c r="K1099" s="14">
        <v>43940</v>
      </c>
      <c r="L1099" s="15">
        <v>0.92013888888888884</v>
      </c>
      <c r="M1099" s="13" t="s">
        <v>20</v>
      </c>
      <c r="N1099" s="13">
        <v>1.3</v>
      </c>
      <c r="O1099" s="13">
        <v>75</v>
      </c>
      <c r="Q1099" s="18">
        <v>43940</v>
      </c>
      <c r="R1099" s="19">
        <v>0.96319444444444446</v>
      </c>
      <c r="S1099" s="17" t="s">
        <v>19</v>
      </c>
      <c r="T1099" s="17">
        <v>0.19</v>
      </c>
      <c r="U1099" s="17">
        <v>50</v>
      </c>
    </row>
    <row r="1100" spans="5:21" x14ac:dyDescent="0.25">
      <c r="E1100" s="10">
        <v>44002</v>
      </c>
      <c r="F1100" s="11">
        <v>0.68263888888888891</v>
      </c>
      <c r="G1100" t="s">
        <v>32</v>
      </c>
      <c r="H1100">
        <v>1.07</v>
      </c>
      <c r="I1100">
        <v>75</v>
      </c>
      <c r="K1100" s="14">
        <v>43940</v>
      </c>
      <c r="L1100" s="15">
        <v>0.91875000000000007</v>
      </c>
      <c r="M1100" s="13" t="s">
        <v>20</v>
      </c>
      <c r="N1100" s="13">
        <v>4.4000000000000004</v>
      </c>
      <c r="O1100" s="13">
        <v>50</v>
      </c>
      <c r="Q1100" s="18">
        <v>44053</v>
      </c>
      <c r="R1100" s="19">
        <v>0.62083333333333335</v>
      </c>
      <c r="S1100" s="17" t="s">
        <v>15</v>
      </c>
      <c r="T1100" s="17">
        <v>4.84</v>
      </c>
      <c r="U1100" s="17">
        <v>300</v>
      </c>
    </row>
    <row r="1101" spans="5:21" x14ac:dyDescent="0.25">
      <c r="E1101" s="10">
        <v>44002</v>
      </c>
      <c r="F1101" s="11">
        <v>0.66736111111111107</v>
      </c>
      <c r="G1101" t="s">
        <v>32</v>
      </c>
      <c r="H1101">
        <v>0.24</v>
      </c>
      <c r="I1101">
        <v>50</v>
      </c>
      <c r="K1101" s="14">
        <v>43940</v>
      </c>
      <c r="L1101" s="15">
        <v>0.93888888888888899</v>
      </c>
      <c r="M1101" s="13" t="s">
        <v>20</v>
      </c>
      <c r="N1101" s="13">
        <v>1.82</v>
      </c>
      <c r="O1101" s="13">
        <v>100</v>
      </c>
      <c r="Q1101" s="18">
        <v>43841</v>
      </c>
      <c r="R1101" s="19">
        <v>0.15555555555555556</v>
      </c>
      <c r="S1101" s="17" t="s">
        <v>24</v>
      </c>
      <c r="T1101" s="17">
        <v>6.43</v>
      </c>
      <c r="U1101" s="17">
        <v>850</v>
      </c>
    </row>
    <row r="1102" spans="5:21" x14ac:dyDescent="0.25">
      <c r="E1102" s="10">
        <v>44030</v>
      </c>
      <c r="F1102" s="11">
        <v>0.875</v>
      </c>
      <c r="G1102" t="s">
        <v>32</v>
      </c>
      <c r="H1102">
        <v>6.23</v>
      </c>
      <c r="I1102">
        <v>400</v>
      </c>
      <c r="K1102" s="14">
        <v>43940</v>
      </c>
      <c r="L1102" s="15">
        <v>0.94444444444444453</v>
      </c>
      <c r="M1102" s="13" t="s">
        <v>20</v>
      </c>
      <c r="N1102" s="13">
        <v>5.18</v>
      </c>
      <c r="O1102" s="13">
        <v>300</v>
      </c>
      <c r="Q1102" s="18">
        <v>43841</v>
      </c>
      <c r="R1102" s="19">
        <v>0.28888888888888892</v>
      </c>
      <c r="S1102" s="17" t="s">
        <v>24</v>
      </c>
      <c r="T1102" s="17">
        <v>8.2200000000000006</v>
      </c>
      <c r="U1102" s="17">
        <v>150</v>
      </c>
    </row>
    <row r="1103" spans="5:21" x14ac:dyDescent="0.25">
      <c r="E1103" s="10">
        <v>44030</v>
      </c>
      <c r="F1103" s="11">
        <v>0.99305555555555547</v>
      </c>
      <c r="G1103" t="s">
        <v>32</v>
      </c>
      <c r="H1103">
        <v>3.62</v>
      </c>
      <c r="I1103">
        <v>200</v>
      </c>
      <c r="K1103" s="14">
        <v>43940</v>
      </c>
      <c r="L1103" s="15">
        <v>0.94861111111111107</v>
      </c>
      <c r="M1103" s="13" t="s">
        <v>20</v>
      </c>
      <c r="N1103" s="13">
        <v>0.47</v>
      </c>
      <c r="O1103" s="13">
        <v>300</v>
      </c>
      <c r="Q1103" s="18">
        <v>44020</v>
      </c>
      <c r="R1103" s="19">
        <v>0.75069444444444444</v>
      </c>
      <c r="S1103" s="17" t="s">
        <v>28</v>
      </c>
      <c r="T1103" s="17">
        <v>0.1</v>
      </c>
      <c r="U1103" s="17">
        <v>10</v>
      </c>
    </row>
    <row r="1104" spans="5:21" x14ac:dyDescent="0.25">
      <c r="E1104" s="10">
        <v>44030</v>
      </c>
      <c r="F1104" s="11">
        <v>7.7083333333333337E-2</v>
      </c>
      <c r="G1104" t="s">
        <v>32</v>
      </c>
      <c r="H1104">
        <v>0.6</v>
      </c>
      <c r="I1104">
        <v>50</v>
      </c>
      <c r="K1104" s="14">
        <v>43940</v>
      </c>
      <c r="L1104" s="15">
        <v>0.92083333333333339</v>
      </c>
      <c r="M1104" s="13" t="s">
        <v>20</v>
      </c>
      <c r="N1104" s="13">
        <v>3.17</v>
      </c>
      <c r="O1104" s="13">
        <v>75</v>
      </c>
      <c r="Q1104" s="18">
        <v>43841</v>
      </c>
      <c r="R1104" s="19">
        <v>1.2499999999999999E-2</v>
      </c>
      <c r="S1104" s="17" t="s">
        <v>6</v>
      </c>
      <c r="T1104" s="17">
        <v>0.52</v>
      </c>
      <c r="U1104" s="17">
        <v>150</v>
      </c>
    </row>
    <row r="1105" spans="5:21" x14ac:dyDescent="0.25">
      <c r="E1105" s="10">
        <v>44030</v>
      </c>
      <c r="F1105" s="11">
        <v>3.3333333333333333E-2</v>
      </c>
      <c r="G1105" t="s">
        <v>32</v>
      </c>
      <c r="H1105">
        <v>0.42</v>
      </c>
      <c r="I1105">
        <v>50</v>
      </c>
      <c r="K1105" s="14">
        <v>43940</v>
      </c>
      <c r="L1105" s="15">
        <v>0.91319444444444453</v>
      </c>
      <c r="M1105" s="13" t="s">
        <v>20</v>
      </c>
      <c r="N1105" s="13">
        <v>8.9</v>
      </c>
      <c r="O1105" s="13">
        <v>100</v>
      </c>
      <c r="Q1105" s="18">
        <v>44189</v>
      </c>
      <c r="R1105" s="19">
        <v>0.77083333333333337</v>
      </c>
      <c r="S1105" s="17" t="s">
        <v>10</v>
      </c>
      <c r="T1105" s="17">
        <v>0.32</v>
      </c>
      <c r="U1105" s="17">
        <v>50</v>
      </c>
    </row>
    <row r="1106" spans="5:21" x14ac:dyDescent="0.25">
      <c r="E1106" s="10">
        <v>44033</v>
      </c>
      <c r="F1106" s="11">
        <v>0.79999999999999993</v>
      </c>
      <c r="G1106" t="s">
        <v>32</v>
      </c>
      <c r="H1106">
        <v>3.45</v>
      </c>
      <c r="I1106">
        <v>25</v>
      </c>
      <c r="K1106" s="14">
        <v>43940</v>
      </c>
      <c r="L1106" s="15">
        <v>0.94861111111111107</v>
      </c>
      <c r="M1106" s="13" t="s">
        <v>20</v>
      </c>
      <c r="N1106" s="13">
        <v>6.45</v>
      </c>
      <c r="O1106" s="13">
        <v>100</v>
      </c>
      <c r="Q1106" s="18">
        <v>43871</v>
      </c>
      <c r="R1106" s="19">
        <v>0.75555555555555554</v>
      </c>
      <c r="S1106" s="17" t="s">
        <v>24</v>
      </c>
      <c r="T1106" s="17">
        <v>1.2</v>
      </c>
      <c r="U1106" s="17">
        <v>200</v>
      </c>
    </row>
    <row r="1107" spans="5:21" x14ac:dyDescent="0.25">
      <c r="E1107" s="10">
        <v>44033</v>
      </c>
      <c r="F1107" s="11">
        <v>0.8222222222222223</v>
      </c>
      <c r="G1107" t="s">
        <v>32</v>
      </c>
      <c r="H1107">
        <v>2.9</v>
      </c>
      <c r="I1107">
        <v>150</v>
      </c>
      <c r="K1107" s="14">
        <v>43940</v>
      </c>
      <c r="L1107" s="15">
        <v>0.94791666666666663</v>
      </c>
      <c r="M1107" s="13" t="s">
        <v>20</v>
      </c>
      <c r="N1107" s="13">
        <v>1.49</v>
      </c>
      <c r="O1107" s="13">
        <v>500</v>
      </c>
      <c r="Q1107" s="18">
        <v>43933</v>
      </c>
      <c r="R1107" s="19">
        <v>0.51180555555555551</v>
      </c>
      <c r="S1107" s="17" t="s">
        <v>24</v>
      </c>
      <c r="T1107" s="17">
        <v>4.09</v>
      </c>
      <c r="U1107" s="17">
        <v>440</v>
      </c>
    </row>
    <row r="1108" spans="5:21" x14ac:dyDescent="0.25">
      <c r="E1108" s="10">
        <v>44033</v>
      </c>
      <c r="F1108" s="11">
        <v>0.70138888888888884</v>
      </c>
      <c r="G1108" t="s">
        <v>32</v>
      </c>
      <c r="H1108">
        <v>1.54</v>
      </c>
      <c r="I1108">
        <v>20</v>
      </c>
      <c r="K1108" s="14">
        <v>43940</v>
      </c>
      <c r="L1108" s="15">
        <v>0.9458333333333333</v>
      </c>
      <c r="M1108" s="13" t="s">
        <v>20</v>
      </c>
      <c r="N1108" s="13">
        <v>0.71</v>
      </c>
      <c r="O1108" s="13">
        <v>50</v>
      </c>
      <c r="Q1108" s="18">
        <v>43843</v>
      </c>
      <c r="R1108" s="19">
        <v>0.95208333333333339</v>
      </c>
      <c r="S1108" s="17" t="s">
        <v>9</v>
      </c>
      <c r="T1108" s="17">
        <v>1.46</v>
      </c>
      <c r="U1108" s="17">
        <v>100</v>
      </c>
    </row>
    <row r="1109" spans="5:21" x14ac:dyDescent="0.25">
      <c r="E1109" s="10">
        <v>44033</v>
      </c>
      <c r="F1109" s="11">
        <v>0.68194444444444446</v>
      </c>
      <c r="G1109" t="s">
        <v>32</v>
      </c>
      <c r="H1109">
        <v>0.19</v>
      </c>
      <c r="I1109">
        <v>25</v>
      </c>
      <c r="K1109" s="14">
        <v>43944</v>
      </c>
      <c r="L1109" s="15">
        <v>0.32847222222222222</v>
      </c>
      <c r="M1109" s="13" t="s">
        <v>20</v>
      </c>
      <c r="N1109" s="13">
        <v>0.01</v>
      </c>
      <c r="O1109" s="13">
        <v>25</v>
      </c>
      <c r="Q1109" s="18">
        <v>43933</v>
      </c>
      <c r="R1109" s="19">
        <v>0.84097222222222223</v>
      </c>
      <c r="S1109" s="17" t="s">
        <v>20</v>
      </c>
      <c r="T1109" s="17">
        <v>0.35</v>
      </c>
      <c r="U1109" s="17">
        <v>70</v>
      </c>
    </row>
    <row r="1110" spans="5:21" x14ac:dyDescent="0.25">
      <c r="E1110" s="10">
        <v>44033</v>
      </c>
      <c r="F1110" s="11">
        <v>0.73611111111111116</v>
      </c>
      <c r="G1110" t="s">
        <v>32</v>
      </c>
      <c r="H1110">
        <v>0.09</v>
      </c>
      <c r="I1110">
        <v>25</v>
      </c>
      <c r="K1110" s="14">
        <v>43944</v>
      </c>
      <c r="L1110" s="15">
        <v>0.32083333333333336</v>
      </c>
      <c r="M1110" s="13" t="s">
        <v>20</v>
      </c>
      <c r="N1110" s="13">
        <v>0.37</v>
      </c>
      <c r="O1110" s="13">
        <v>50</v>
      </c>
      <c r="Q1110" s="18">
        <v>43921</v>
      </c>
      <c r="R1110" s="19">
        <v>0.49652777777777773</v>
      </c>
      <c r="S1110" s="17" t="s">
        <v>19</v>
      </c>
      <c r="T1110" s="17">
        <v>0.17</v>
      </c>
      <c r="U1110" s="17">
        <v>25</v>
      </c>
    </row>
    <row r="1111" spans="5:21" x14ac:dyDescent="0.25">
      <c r="E1111" s="10">
        <v>44052</v>
      </c>
      <c r="F1111" s="11">
        <v>0.78055555555555556</v>
      </c>
      <c r="G1111" t="s">
        <v>32</v>
      </c>
      <c r="H1111">
        <v>6.18</v>
      </c>
      <c r="I1111">
        <v>400</v>
      </c>
      <c r="K1111" s="14">
        <v>43944</v>
      </c>
      <c r="L1111" s="15">
        <v>0.23402777777777781</v>
      </c>
      <c r="M1111" s="13" t="s">
        <v>20</v>
      </c>
      <c r="N1111" s="13">
        <v>0.55000000000000004</v>
      </c>
      <c r="O1111" s="13">
        <v>75</v>
      </c>
      <c r="Q1111" s="18">
        <v>43893</v>
      </c>
      <c r="R1111" s="19">
        <v>6.805555555555555E-2</v>
      </c>
      <c r="S1111" s="17" t="s">
        <v>21</v>
      </c>
      <c r="T1111" s="17">
        <v>3.32</v>
      </c>
      <c r="U1111" s="17">
        <v>50</v>
      </c>
    </row>
    <row r="1112" spans="5:21" x14ac:dyDescent="0.25">
      <c r="E1112" s="10">
        <v>44052</v>
      </c>
      <c r="F1112" s="11">
        <v>0.81111111111111101</v>
      </c>
      <c r="G1112" t="s">
        <v>32</v>
      </c>
      <c r="H1112">
        <v>5.89</v>
      </c>
      <c r="I1112">
        <v>250</v>
      </c>
      <c r="K1112" s="14">
        <v>44006</v>
      </c>
      <c r="L1112" s="15">
        <v>0.52708333333333335</v>
      </c>
      <c r="M1112" s="13" t="s">
        <v>20</v>
      </c>
      <c r="N1112" s="13">
        <v>0.28000000000000003</v>
      </c>
      <c r="O1112" s="13">
        <v>50</v>
      </c>
      <c r="Q1112" s="18">
        <v>43943</v>
      </c>
      <c r="R1112" s="19">
        <v>0.68888888888888899</v>
      </c>
      <c r="S1112" s="17" t="s">
        <v>33</v>
      </c>
      <c r="T1112" s="17">
        <v>5.21</v>
      </c>
      <c r="U1112" s="17">
        <v>500</v>
      </c>
    </row>
    <row r="1113" spans="5:21" x14ac:dyDescent="0.25">
      <c r="E1113" s="10">
        <v>44052</v>
      </c>
      <c r="F1113" s="11">
        <v>0.84166666666666667</v>
      </c>
      <c r="G1113" t="s">
        <v>32</v>
      </c>
      <c r="H1113">
        <v>4.59</v>
      </c>
      <c r="I1113">
        <v>250</v>
      </c>
      <c r="K1113" s="14">
        <v>44006</v>
      </c>
      <c r="L1113" s="15">
        <v>0.53402777777777777</v>
      </c>
      <c r="M1113" s="13" t="s">
        <v>20</v>
      </c>
      <c r="N1113" s="13">
        <v>2.66</v>
      </c>
      <c r="O1113" s="13">
        <v>300</v>
      </c>
      <c r="Q1113" s="18">
        <v>43972</v>
      </c>
      <c r="R1113" s="19">
        <v>0.71250000000000002</v>
      </c>
      <c r="S1113" s="17" t="s">
        <v>12</v>
      </c>
      <c r="T1113" s="17">
        <v>7.0000000000000007E-2</v>
      </c>
      <c r="U1113" s="17">
        <v>50</v>
      </c>
    </row>
    <row r="1114" spans="5:21" x14ac:dyDescent="0.25">
      <c r="E1114" s="10">
        <v>44052</v>
      </c>
      <c r="F1114" s="11">
        <v>0.84166666666666667</v>
      </c>
      <c r="G1114" t="s">
        <v>32</v>
      </c>
      <c r="H1114">
        <v>3.56</v>
      </c>
      <c r="I1114">
        <v>250</v>
      </c>
      <c r="K1114" s="14">
        <v>44038</v>
      </c>
      <c r="L1114" s="15">
        <v>0.74513888888888891</v>
      </c>
      <c r="M1114" s="13" t="s">
        <v>20</v>
      </c>
      <c r="N1114" s="13">
        <v>0.23</v>
      </c>
      <c r="O1114" s="13">
        <v>25</v>
      </c>
      <c r="Q1114" s="18">
        <v>43978</v>
      </c>
      <c r="R1114" s="19">
        <v>0.77361111111111114</v>
      </c>
      <c r="S1114" s="17" t="s">
        <v>15</v>
      </c>
      <c r="T1114" s="17">
        <v>7.0000000000000007E-2</v>
      </c>
      <c r="U1114" s="17">
        <v>10</v>
      </c>
    </row>
    <row r="1115" spans="5:21" x14ac:dyDescent="0.25">
      <c r="E1115" s="10">
        <v>44053</v>
      </c>
      <c r="F1115" s="11">
        <v>0.61458333333333337</v>
      </c>
      <c r="G1115" t="s">
        <v>32</v>
      </c>
      <c r="H1115">
        <v>4.5</v>
      </c>
      <c r="I1115">
        <v>150</v>
      </c>
      <c r="K1115" s="14">
        <v>44066</v>
      </c>
      <c r="L1115" s="15">
        <v>0.46736111111111112</v>
      </c>
      <c r="M1115" s="13" t="s">
        <v>20</v>
      </c>
      <c r="N1115" s="13">
        <v>0.12</v>
      </c>
      <c r="O1115" s="13">
        <v>50</v>
      </c>
      <c r="Q1115" s="18">
        <v>43841</v>
      </c>
      <c r="R1115" s="19">
        <v>0.21111111111111111</v>
      </c>
      <c r="S1115" s="17" t="s">
        <v>24</v>
      </c>
      <c r="T1115" s="17">
        <v>7.25</v>
      </c>
      <c r="U1115" s="17">
        <v>150</v>
      </c>
    </row>
    <row r="1116" spans="5:21" x14ac:dyDescent="0.25">
      <c r="E1116" s="10">
        <v>44053</v>
      </c>
      <c r="F1116" s="11">
        <v>0.60972222222222217</v>
      </c>
      <c r="G1116" t="s">
        <v>32</v>
      </c>
      <c r="H1116">
        <v>3.29</v>
      </c>
      <c r="I1116">
        <v>50</v>
      </c>
      <c r="K1116" s="14">
        <v>44071</v>
      </c>
      <c r="L1116" s="15">
        <v>0.68541666666666667</v>
      </c>
      <c r="M1116" s="13" t="s">
        <v>20</v>
      </c>
      <c r="N1116" s="13">
        <v>5.56</v>
      </c>
      <c r="O1116" s="13">
        <v>115</v>
      </c>
      <c r="Q1116" s="18">
        <v>43967</v>
      </c>
      <c r="R1116" s="19">
        <v>0.24166666666666667</v>
      </c>
      <c r="S1116" s="17" t="s">
        <v>6</v>
      </c>
      <c r="T1116" s="17">
        <v>4.47</v>
      </c>
      <c r="U1116" s="17">
        <v>25</v>
      </c>
    </row>
    <row r="1117" spans="5:21" x14ac:dyDescent="0.25">
      <c r="E1117" s="10">
        <v>44053</v>
      </c>
      <c r="F1117" s="11">
        <v>0.48055555555555557</v>
      </c>
      <c r="G1117" t="s">
        <v>32</v>
      </c>
      <c r="H1117">
        <v>0.55000000000000004</v>
      </c>
      <c r="I1117">
        <v>50</v>
      </c>
      <c r="K1117" s="14">
        <v>44071</v>
      </c>
      <c r="L1117" s="15">
        <v>0.70694444444444438</v>
      </c>
      <c r="M1117" s="13" t="s">
        <v>20</v>
      </c>
      <c r="N1117" s="13">
        <v>0.22</v>
      </c>
      <c r="O1117" s="13">
        <v>40</v>
      </c>
      <c r="Q1117" s="18">
        <v>44045</v>
      </c>
      <c r="R1117" s="19">
        <v>0.67013888888888884</v>
      </c>
      <c r="S1117" s="17" t="s">
        <v>38</v>
      </c>
      <c r="T1117" s="17">
        <v>1.7</v>
      </c>
      <c r="U1117" s="17">
        <v>100</v>
      </c>
    </row>
    <row r="1118" spans="5:21" x14ac:dyDescent="0.25">
      <c r="E1118" s="10">
        <v>44099</v>
      </c>
      <c r="F1118" s="11">
        <v>0.78611111111111109</v>
      </c>
      <c r="G1118" t="s">
        <v>32</v>
      </c>
      <c r="H1118">
        <v>0.8</v>
      </c>
      <c r="I1118">
        <v>50</v>
      </c>
      <c r="K1118" s="14">
        <v>44071</v>
      </c>
      <c r="L1118" s="15">
        <v>0.65</v>
      </c>
      <c r="M1118" s="13" t="s">
        <v>20</v>
      </c>
      <c r="N1118" s="13">
        <v>2.56</v>
      </c>
      <c r="O1118" s="13">
        <v>100</v>
      </c>
      <c r="Q1118" s="18">
        <v>43841</v>
      </c>
      <c r="R1118" s="19">
        <v>0.15</v>
      </c>
      <c r="S1118" s="17" t="s">
        <v>29</v>
      </c>
      <c r="T1118" s="17">
        <v>0.17</v>
      </c>
      <c r="U1118" s="17">
        <v>15</v>
      </c>
    </row>
    <row r="1119" spans="5:21" x14ac:dyDescent="0.25">
      <c r="E1119" s="10">
        <v>43988</v>
      </c>
      <c r="F1119" s="11">
        <v>0.61875000000000002</v>
      </c>
      <c r="G1119" t="s">
        <v>39</v>
      </c>
      <c r="H1119">
        <v>1.21</v>
      </c>
      <c r="I1119">
        <v>600</v>
      </c>
      <c r="K1119" s="14">
        <v>44071</v>
      </c>
      <c r="L1119" s="15">
        <v>0.62638888888888888</v>
      </c>
      <c r="M1119" s="13" t="s">
        <v>20</v>
      </c>
      <c r="N1119" s="13">
        <v>8.75</v>
      </c>
      <c r="O1119" s="13">
        <v>325</v>
      </c>
      <c r="Q1119" s="18">
        <v>43841</v>
      </c>
      <c r="R1119" s="19">
        <v>0.55486111111111114</v>
      </c>
      <c r="S1119" s="17" t="s">
        <v>20</v>
      </c>
      <c r="T1119" s="17">
        <v>0.22</v>
      </c>
      <c r="U1119" s="17">
        <v>150</v>
      </c>
    </row>
    <row r="1120" spans="5:21" x14ac:dyDescent="0.25">
      <c r="E1120" s="10">
        <v>44018</v>
      </c>
      <c r="F1120" s="11">
        <v>0.72638888888888886</v>
      </c>
      <c r="G1120" t="s">
        <v>39</v>
      </c>
      <c r="H1120">
        <v>3.66</v>
      </c>
      <c r="I1120">
        <v>50</v>
      </c>
      <c r="K1120" s="14">
        <v>44114</v>
      </c>
      <c r="L1120" s="15">
        <v>0.1673611111111111</v>
      </c>
      <c r="M1120" s="13" t="s">
        <v>20</v>
      </c>
      <c r="N1120" s="13">
        <v>0.08</v>
      </c>
      <c r="O1120" s="13">
        <v>25</v>
      </c>
      <c r="Q1120" s="18">
        <v>44009</v>
      </c>
      <c r="R1120" s="19">
        <v>0.84305555555555556</v>
      </c>
      <c r="S1120" s="17" t="s">
        <v>17</v>
      </c>
      <c r="T1120" s="17">
        <v>0.74</v>
      </c>
      <c r="U1120" s="17">
        <v>125</v>
      </c>
    </row>
    <row r="1121" spans="5:21" x14ac:dyDescent="0.25">
      <c r="E1121" s="10">
        <v>44018</v>
      </c>
      <c r="F1121" s="11">
        <v>0.77638888888888891</v>
      </c>
      <c r="G1121" t="s">
        <v>39</v>
      </c>
      <c r="H1121">
        <v>2.06</v>
      </c>
      <c r="I1121">
        <v>770</v>
      </c>
      <c r="K1121" s="14">
        <v>44114</v>
      </c>
      <c r="L1121" s="15">
        <v>0.63472222222222219</v>
      </c>
      <c r="M1121" s="13" t="s">
        <v>20</v>
      </c>
      <c r="N1121" s="13">
        <v>0.67</v>
      </c>
      <c r="O1121" s="13">
        <v>125</v>
      </c>
      <c r="Q1121" s="18">
        <v>43933</v>
      </c>
      <c r="R1121" s="19">
        <v>0.6333333333333333</v>
      </c>
      <c r="S1121" s="17" t="s">
        <v>24</v>
      </c>
      <c r="T1121" s="17">
        <v>67.430000000000007</v>
      </c>
      <c r="U1121" s="17">
        <v>3960</v>
      </c>
    </row>
    <row r="1122" spans="5:21" x14ac:dyDescent="0.25">
      <c r="E1122" s="10">
        <v>44054</v>
      </c>
      <c r="F1122" s="11">
        <v>0.74444444444444446</v>
      </c>
      <c r="G1122" t="s">
        <v>39</v>
      </c>
      <c r="H1122">
        <v>0.19</v>
      </c>
      <c r="I1122">
        <v>20</v>
      </c>
      <c r="K1122" s="14">
        <v>44179</v>
      </c>
      <c r="L1122" s="15">
        <v>4.3055555555555562E-2</v>
      </c>
      <c r="M1122" s="13" t="s">
        <v>20</v>
      </c>
      <c r="N1122" s="13">
        <v>4.8</v>
      </c>
      <c r="O1122" s="13">
        <v>350</v>
      </c>
      <c r="Q1122" s="18">
        <v>43921</v>
      </c>
      <c r="R1122" s="19">
        <v>0.60625000000000007</v>
      </c>
      <c r="S1122" s="17" t="s">
        <v>19</v>
      </c>
      <c r="T1122" s="17">
        <v>0.11</v>
      </c>
      <c r="U1122" s="17">
        <v>50</v>
      </c>
    </row>
    <row r="1123" spans="5:21" x14ac:dyDescent="0.25">
      <c r="U1123" s="20" t="s">
        <v>68</v>
      </c>
    </row>
  </sheetData>
  <sheetProtection sort="0"/>
  <sortState xmlns:xlrd2="http://schemas.microsoft.com/office/spreadsheetml/2017/richdata2" ref="K9:O1122">
    <sortCondition descending="1" ref="M9:M1122"/>
  </sortState>
  <conditionalFormatting sqref="C13 C16 C19">
    <cfRule type="containsText" dxfId="15" priority="32" operator="containsText" text="Not quite">
      <formula>NOT(ISERROR(SEARCH("Not quite",C13)))</formula>
    </cfRule>
  </conditionalFormatting>
  <conditionalFormatting sqref="C13 C16 C19">
    <cfRule type="containsText" dxfId="14" priority="31" operator="containsText" text="Correct">
      <formula>NOT(ISERROR(SEARCH("Correct",C13)))</formula>
    </cfRule>
  </conditionalFormatting>
  <conditionalFormatting sqref="C23">
    <cfRule type="containsText" dxfId="13" priority="20" operator="containsText" text="Not quite">
      <formula>NOT(ISERROR(SEARCH("Not quite",C23)))</formula>
    </cfRule>
  </conditionalFormatting>
  <conditionalFormatting sqref="C23">
    <cfRule type="containsText" dxfId="12" priority="19" operator="containsText" text="Correct">
      <formula>NOT(ISERROR(SEARCH("Correct",C23)))</formula>
    </cfRule>
  </conditionalFormatting>
  <conditionalFormatting sqref="C14">
    <cfRule type="containsText" dxfId="11" priority="10" operator="containsText" text="Not quite">
      <formula>NOT(ISERROR(SEARCH("Not quite",C14)))</formula>
    </cfRule>
    <cfRule type="containsText" dxfId="10" priority="12" operator="containsText" text="formula">
      <formula>NOT(ISERROR(SEARCH("formula",C14)))</formula>
    </cfRule>
  </conditionalFormatting>
  <conditionalFormatting sqref="C14">
    <cfRule type="containsText" dxfId="9" priority="11" operator="containsText" text="Correct">
      <formula>NOT(ISERROR(SEARCH("Correct",C14)))</formula>
    </cfRule>
  </conditionalFormatting>
  <conditionalFormatting sqref="C18">
    <cfRule type="containsText" dxfId="8" priority="7" operator="containsText" text="Not quite">
      <formula>NOT(ISERROR(SEARCH("Not quite",C18)))</formula>
    </cfRule>
    <cfRule type="containsText" dxfId="7" priority="9" operator="containsText" text="formula">
      <formula>NOT(ISERROR(SEARCH("formula",C18)))</formula>
    </cfRule>
  </conditionalFormatting>
  <conditionalFormatting sqref="C18">
    <cfRule type="containsText" dxfId="6" priority="8" operator="containsText" text="Correct">
      <formula>NOT(ISERROR(SEARCH("Correct",C18)))</formula>
    </cfRule>
  </conditionalFormatting>
  <conditionalFormatting sqref="C22">
    <cfRule type="containsText" dxfId="5" priority="4" operator="containsText" text="Not quite">
      <formula>NOT(ISERROR(SEARCH("Not quite",C22)))</formula>
    </cfRule>
    <cfRule type="containsText" dxfId="4" priority="6" operator="containsText" text="formula">
      <formula>NOT(ISERROR(SEARCH("formula",C22)))</formula>
    </cfRule>
  </conditionalFormatting>
  <conditionalFormatting sqref="C22">
    <cfRule type="containsText" dxfId="3" priority="5" operator="containsText" text="Correct">
      <formula>NOT(ISERROR(SEARCH("Correct",C22)))</formula>
    </cfRule>
  </conditionalFormatting>
  <conditionalFormatting sqref="C26">
    <cfRule type="containsText" dxfId="2" priority="1" operator="containsText" text="Not quite">
      <formula>NOT(ISERROR(SEARCH("Not quite",C26)))</formula>
    </cfRule>
    <cfRule type="containsText" dxfId="1" priority="3" operator="containsText" text="formula">
      <formula>NOT(ISERROR(SEARCH("formula",C26)))</formula>
    </cfRule>
  </conditionalFormatting>
  <conditionalFormatting sqref="C26">
    <cfRule type="containsText" dxfId="0" priority="2" operator="containsText" text="Correct">
      <formula>NOT(ISERROR(SEARCH("Correct",C26)))</formula>
    </cfRule>
  </conditionalFormatting>
  <dataValidations count="1">
    <dataValidation type="list" allowBlank="1" showInputMessage="1" showErrorMessage="1" sqref="B26" xr:uid="{21916BC7-E3D7-844A-BF1A-3B476019727A}">
      <formula1>"increases,decreases,fluctuates"</formula1>
    </dataValidation>
  </dataValidations>
  <hyperlinks>
    <hyperlink ref="U1123" r:id="rId1" xr:uid="{DA2098BE-10B0-7C43-B145-4B59EFB40DC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Ada Morse</cp:lastModifiedBy>
  <dcterms:created xsi:type="dcterms:W3CDTF">2022-05-11T12:42:03Z</dcterms:created>
  <dcterms:modified xsi:type="dcterms:W3CDTF">2022-06-03T14:37:15Z</dcterms:modified>
</cp:coreProperties>
</file>