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\Learn Microsoft Excel for Data Analysis\4. Handling Data\3. Capstone Project\"/>
    </mc:Choice>
  </mc:AlternateContent>
  <xr:revisionPtr revIDLastSave="0" documentId="13_ncr:20001_{7E5F0E75-BDB1-4353-8659-965AD8992A43}" xr6:coauthVersionLast="47" xr6:coauthVersionMax="47" xr10:uidLastSave="{00000000-0000-0000-0000-000000000000}"/>
  <bookViews>
    <workbookView xWindow="28680" yWindow="-120" windowWidth="29040" windowHeight="17790" activeTab="5" xr2:uid="{505E9433-8B32-FE41-95DA-0DD801D10BA0}"/>
  </bookViews>
  <sheets>
    <sheet name="Data" sheetId="5" r:id="rId1"/>
    <sheet name="Notes" sheetId="4" r:id="rId2"/>
    <sheet name="Upside" sheetId="1" r:id="rId3"/>
    <sheet name="Spread" sheetId="3" r:id="rId4"/>
    <sheet name="Exploratory Data Analysis" sheetId="12" r:id="rId5"/>
    <sheet name="Final Recommendation" sheetId="13" r:id="rId6"/>
  </sheets>
  <calcPr calcId="191029"/>
  <pivotCaches>
    <pivotCache cacheId="0" r:id="rId7"/>
    <pivotCache cacheId="1" r:id="rId8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" i="3" l="1" a="1"/>
  <c r="D3" i="3" s="1"/>
  <c r="D4" i="3" a="1"/>
  <c r="D4" i="3" s="1"/>
  <c r="C3" i="3" a="1"/>
  <c r="C3" i="3" s="1"/>
  <c r="C4" i="3" a="1"/>
  <c r="C4" i="3" s="1"/>
  <c r="D3" i="1"/>
  <c r="F3" i="1" s="1" a="1"/>
  <c r="F3" i="1" s="1"/>
  <c r="D4" i="1"/>
  <c r="F4" i="1" s="1" a="1"/>
  <c r="F4" i="1" s="1"/>
  <c r="E4" i="1" a="1"/>
  <c r="E4" i="1" s="1"/>
  <c r="C3" i="1"/>
  <c r="E3" i="1" s="1" a="1"/>
  <c r="E3" i="1" s="1"/>
  <c r="C4" i="1"/>
  <c r="J614" i="5"/>
  <c r="J612" i="5"/>
  <c r="J610" i="5"/>
  <c r="J608" i="5"/>
  <c r="L608" i="5" s="1"/>
  <c r="J606" i="5"/>
  <c r="L606" i="5" s="1"/>
  <c r="J604" i="5"/>
  <c r="L604" i="5" s="1"/>
  <c r="J603" i="5"/>
  <c r="L603" i="5" s="1"/>
  <c r="J602" i="5"/>
  <c r="L602" i="5" s="1"/>
  <c r="J600" i="5"/>
  <c r="J598" i="5"/>
  <c r="L598" i="5" s="1"/>
  <c r="J596" i="5"/>
  <c r="L596" i="5" s="1"/>
  <c r="J594" i="5"/>
  <c r="L594" i="5" s="1"/>
  <c r="J592" i="5"/>
  <c r="L592" i="5" s="1"/>
  <c r="J591" i="5"/>
  <c r="L591" i="5" s="1"/>
  <c r="J590" i="5"/>
  <c r="J589" i="5"/>
  <c r="L589" i="5" s="1"/>
  <c r="J587" i="5"/>
  <c r="L587" i="5" s="1"/>
  <c r="J585" i="5"/>
  <c r="L585" i="5" s="1"/>
  <c r="J583" i="5"/>
  <c r="J581" i="5"/>
  <c r="L581" i="5" s="1"/>
  <c r="J580" i="5"/>
  <c r="J579" i="5"/>
  <c r="L579" i="5" s="1"/>
  <c r="J577" i="5"/>
  <c r="L577" i="5" s="1"/>
  <c r="J575" i="5"/>
  <c r="L575" i="5" s="1"/>
  <c r="J573" i="5"/>
  <c r="L573" i="5" s="1"/>
  <c r="J571" i="5"/>
  <c r="L571" i="5" s="1"/>
  <c r="J569" i="5"/>
  <c r="L569" i="5" s="1"/>
  <c r="J568" i="5"/>
  <c r="L568" i="5" s="1"/>
  <c r="J567" i="5"/>
  <c r="J565" i="5"/>
  <c r="L565" i="5" s="1"/>
  <c r="J563" i="5"/>
  <c r="J561" i="5"/>
  <c r="L561" i="5" s="1"/>
  <c r="J559" i="5"/>
  <c r="J557" i="5"/>
  <c r="L557" i="5" s="1"/>
  <c r="J556" i="5"/>
  <c r="J555" i="5"/>
  <c r="L555" i="5" s="1"/>
  <c r="J553" i="5"/>
  <c r="L553" i="5" s="1"/>
  <c r="J551" i="5"/>
  <c r="L551" i="5" s="1"/>
  <c r="J549" i="5"/>
  <c r="L549" i="5" s="1"/>
  <c r="J547" i="5"/>
  <c r="L547" i="5" s="1"/>
  <c r="J545" i="5"/>
  <c r="J544" i="5"/>
  <c r="L544" i="5" s="1"/>
  <c r="J543" i="5"/>
  <c r="L543" i="5" s="1"/>
  <c r="J542" i="5"/>
  <c r="L542" i="5" s="1"/>
  <c r="J540" i="5"/>
  <c r="L540" i="5" s="1"/>
  <c r="J538" i="5"/>
  <c r="L538" i="5" s="1"/>
  <c r="J536" i="5"/>
  <c r="J534" i="5"/>
  <c r="L534" i="5" s="1"/>
  <c r="J533" i="5"/>
  <c r="L533" i="5" s="1"/>
  <c r="J532" i="5"/>
  <c r="L532" i="5" s="1"/>
  <c r="J530" i="5"/>
  <c r="J528" i="5"/>
  <c r="L528" i="5" s="1"/>
  <c r="J526" i="5"/>
  <c r="J524" i="5"/>
  <c r="L524" i="5" s="1"/>
  <c r="J522" i="5"/>
  <c r="L522" i="5" s="1"/>
  <c r="J521" i="5"/>
  <c r="L521" i="5" s="1"/>
  <c r="J519" i="5"/>
  <c r="L519" i="5" s="1"/>
  <c r="J517" i="5"/>
  <c r="L517" i="5" s="1"/>
  <c r="J515" i="5"/>
  <c r="L515" i="5" s="1"/>
  <c r="J513" i="5"/>
  <c r="L513" i="5" s="1"/>
  <c r="J511" i="5"/>
  <c r="J510" i="5"/>
  <c r="L510" i="5" s="1"/>
  <c r="J509" i="5"/>
  <c r="L509" i="5" s="1"/>
  <c r="J507" i="5"/>
  <c r="L507" i="5" s="1"/>
  <c r="J505" i="5"/>
  <c r="L505" i="5" s="1"/>
  <c r="J503" i="5"/>
  <c r="L503" i="5" s="1"/>
  <c r="J501" i="5"/>
  <c r="L501" i="5" s="1"/>
  <c r="J499" i="5"/>
  <c r="L499" i="5" s="1"/>
  <c r="J498" i="5"/>
  <c r="J497" i="5"/>
  <c r="L497" i="5" s="1"/>
  <c r="J495" i="5"/>
  <c r="L495" i="5" s="1"/>
  <c r="J493" i="5"/>
  <c r="L493" i="5" s="1"/>
  <c r="J491" i="5"/>
  <c r="L491" i="5" s="1"/>
  <c r="J489" i="5"/>
  <c r="L489" i="5" s="1"/>
  <c r="J487" i="5"/>
  <c r="L487" i="5" s="1"/>
  <c r="J486" i="5"/>
  <c r="L486" i="5" s="1"/>
  <c r="J485" i="5"/>
  <c r="J483" i="5"/>
  <c r="L483" i="5" s="1"/>
  <c r="J481" i="5"/>
  <c r="L481" i="5" s="1"/>
  <c r="J479" i="5"/>
  <c r="J477" i="5"/>
  <c r="J475" i="5"/>
  <c r="J474" i="5"/>
  <c r="L474" i="5" s="1"/>
  <c r="J473" i="5"/>
  <c r="L473" i="5" s="1"/>
  <c r="J471" i="5"/>
  <c r="L471" i="5" s="1"/>
  <c r="J469" i="5"/>
  <c r="L469" i="5" s="1"/>
  <c r="J467" i="5"/>
  <c r="L467" i="5" s="1"/>
  <c r="J465" i="5"/>
  <c r="L465" i="5" s="1"/>
  <c r="J464" i="5"/>
  <c r="J463" i="5"/>
  <c r="L463" i="5" s="1"/>
  <c r="J462" i="5"/>
  <c r="L462" i="5" s="1"/>
  <c r="J460" i="5"/>
  <c r="L460" i="5" s="1"/>
  <c r="J458" i="5"/>
  <c r="L458" i="5" s="1"/>
  <c r="J456" i="5"/>
  <c r="L456" i="5" s="1"/>
  <c r="J454" i="5"/>
  <c r="L454" i="5" s="1"/>
  <c r="J452" i="5"/>
  <c r="L452" i="5" s="1"/>
  <c r="J451" i="5"/>
  <c r="J450" i="5"/>
  <c r="J448" i="5"/>
  <c r="L448" i="5" s="1"/>
  <c r="J446" i="5"/>
  <c r="L446" i="5" s="1"/>
  <c r="J444" i="5"/>
  <c r="L444" i="5" s="1"/>
  <c r="J442" i="5"/>
  <c r="L442" i="5" s="1"/>
  <c r="J440" i="5"/>
  <c r="L440" i="5" s="1"/>
  <c r="J439" i="5"/>
  <c r="L439" i="5" s="1"/>
  <c r="J438" i="5"/>
  <c r="J436" i="5"/>
  <c r="L436" i="5" s="1"/>
  <c r="J434" i="5"/>
  <c r="L434" i="5" s="1"/>
  <c r="J432" i="5"/>
  <c r="L432" i="5" s="1"/>
  <c r="J430" i="5"/>
  <c r="L430" i="5" s="1"/>
  <c r="J428" i="5"/>
  <c r="L428" i="5" s="1"/>
  <c r="J427" i="5"/>
  <c r="L427" i="5" s="1"/>
  <c r="J426" i="5"/>
  <c r="L426" i="5" s="1"/>
  <c r="J424" i="5"/>
  <c r="J422" i="5"/>
  <c r="J420" i="5"/>
  <c r="L420" i="5" s="1"/>
  <c r="J418" i="5"/>
  <c r="L418" i="5" s="1"/>
  <c r="J416" i="5"/>
  <c r="L416" i="5" s="1"/>
  <c r="J415" i="5"/>
  <c r="L415" i="5" s="1"/>
  <c r="J413" i="5"/>
  <c r="L413" i="5" s="1"/>
  <c r="J411" i="5"/>
  <c r="L411" i="5" s="1"/>
  <c r="J409" i="5"/>
  <c r="J407" i="5"/>
  <c r="L407" i="5" s="1"/>
  <c r="J405" i="5"/>
  <c r="L405" i="5" s="1"/>
  <c r="J404" i="5"/>
  <c r="L404" i="5" s="1"/>
  <c r="J403" i="5"/>
  <c r="L403" i="5" s="1"/>
  <c r="J401" i="5"/>
  <c r="L401" i="5" s="1"/>
  <c r="J399" i="5"/>
  <c r="L399" i="5" s="1"/>
  <c r="J397" i="5"/>
  <c r="L397" i="5" s="1"/>
  <c r="J395" i="5"/>
  <c r="J393" i="5"/>
  <c r="J392" i="5"/>
  <c r="L392" i="5" s="1"/>
  <c r="J391" i="5"/>
  <c r="L391" i="5" s="1"/>
  <c r="J389" i="5"/>
  <c r="L389" i="5" s="1"/>
  <c r="J387" i="5"/>
  <c r="L387" i="5" s="1"/>
  <c r="J385" i="5"/>
  <c r="L385" i="5" s="1"/>
  <c r="J383" i="5"/>
  <c r="L383" i="5" s="1"/>
  <c r="J381" i="5"/>
  <c r="J380" i="5"/>
  <c r="L380" i="5" s="1"/>
  <c r="J379" i="5"/>
  <c r="L379" i="5" s="1"/>
  <c r="J377" i="5"/>
  <c r="L377" i="5" s="1"/>
  <c r="J375" i="5"/>
  <c r="L375" i="5" s="1"/>
  <c r="J373" i="5"/>
  <c r="L373" i="5" s="1"/>
  <c r="J371" i="5"/>
  <c r="L371" i="5" s="1"/>
  <c r="J369" i="5"/>
  <c r="L369" i="5" s="1"/>
  <c r="J368" i="5"/>
  <c r="J367" i="5"/>
  <c r="J366" i="5"/>
  <c r="L366" i="5" s="1"/>
  <c r="J364" i="5"/>
  <c r="L364" i="5" s="1"/>
  <c r="J362" i="5"/>
  <c r="L362" i="5" s="1"/>
  <c r="J360" i="5"/>
  <c r="L360" i="5" s="1"/>
  <c r="J358" i="5"/>
  <c r="L358" i="5" s="1"/>
  <c r="J357" i="5"/>
  <c r="L357" i="5" s="1"/>
  <c r="J356" i="5"/>
  <c r="J354" i="5"/>
  <c r="L354" i="5" s="1"/>
  <c r="J352" i="5"/>
  <c r="L352" i="5" s="1"/>
  <c r="J350" i="5"/>
  <c r="L350" i="5" s="1"/>
  <c r="J348" i="5"/>
  <c r="L348" i="5" s="1"/>
  <c r="J346" i="5"/>
  <c r="L346" i="5" s="1"/>
  <c r="J345" i="5"/>
  <c r="L345" i="5" s="1"/>
  <c r="J344" i="5"/>
  <c r="L344" i="5" s="1"/>
  <c r="J342" i="5"/>
  <c r="J340" i="5"/>
  <c r="J338" i="5"/>
  <c r="L338" i="5" s="1"/>
  <c r="J336" i="5"/>
  <c r="L336" i="5" s="1"/>
  <c r="J334" i="5"/>
  <c r="L334" i="5" s="1"/>
  <c r="J333" i="5"/>
  <c r="L333" i="5" s="1"/>
  <c r="J332" i="5"/>
  <c r="L332" i="5" s="1"/>
  <c r="J330" i="5"/>
  <c r="L330" i="5" s="1"/>
  <c r="J328" i="5"/>
  <c r="J326" i="5"/>
  <c r="L326" i="5" s="1"/>
  <c r="J324" i="5"/>
  <c r="L324" i="5" s="1"/>
  <c r="J322" i="5"/>
  <c r="L322" i="5" s="1"/>
  <c r="J321" i="5"/>
  <c r="L321" i="5" s="1"/>
  <c r="J320" i="5"/>
  <c r="L320" i="5" s="1"/>
  <c r="J318" i="5"/>
  <c r="L318" i="5" s="1"/>
  <c r="J316" i="5"/>
  <c r="L316" i="5" s="1"/>
  <c r="J314" i="5"/>
  <c r="J312" i="5"/>
  <c r="J310" i="5"/>
  <c r="L310" i="5" s="1"/>
  <c r="J309" i="5"/>
  <c r="L309" i="5" s="1"/>
  <c r="J308" i="5"/>
  <c r="L308" i="5" s="1"/>
  <c r="J307" i="5"/>
  <c r="L307" i="5" s="1"/>
  <c r="J305" i="5"/>
  <c r="L305" i="5" s="1"/>
  <c r="J303" i="5"/>
  <c r="L303" i="5" s="1"/>
  <c r="J301" i="5"/>
  <c r="J299" i="5"/>
  <c r="L299" i="5" s="1"/>
  <c r="J298" i="5"/>
  <c r="L298" i="5" s="1"/>
  <c r="J297" i="5"/>
  <c r="L297" i="5" s="1"/>
  <c r="J295" i="5"/>
  <c r="L295" i="5" s="1"/>
  <c r="J293" i="5"/>
  <c r="L293" i="5" s="1"/>
  <c r="J291" i="5"/>
  <c r="L291" i="5" s="1"/>
  <c r="J289" i="5"/>
  <c r="L289" i="5" s="1"/>
  <c r="J287" i="5"/>
  <c r="J286" i="5"/>
  <c r="J285" i="5"/>
  <c r="L285" i="5" s="1"/>
  <c r="J283" i="5"/>
  <c r="L283" i="5" s="1"/>
  <c r="J281" i="5"/>
  <c r="L281" i="5" s="1"/>
  <c r="J279" i="5"/>
  <c r="L279" i="5" s="1"/>
  <c r="J277" i="5"/>
  <c r="L277" i="5" s="1"/>
  <c r="J275" i="5"/>
  <c r="L275" i="5" s="1"/>
  <c r="J274" i="5"/>
  <c r="J273" i="5"/>
  <c r="L273" i="5" s="1"/>
  <c r="J271" i="5"/>
  <c r="L271" i="5" s="1"/>
  <c r="J269" i="5"/>
  <c r="L269" i="5" s="1"/>
  <c r="J267" i="5"/>
  <c r="L267" i="5" s="1"/>
  <c r="J265" i="5"/>
  <c r="L265" i="5" s="1"/>
  <c r="J263" i="5"/>
  <c r="L263" i="5" s="1"/>
  <c r="J262" i="5"/>
  <c r="L262" i="5" s="1"/>
  <c r="J261" i="5"/>
  <c r="J259" i="5"/>
  <c r="J257" i="5"/>
  <c r="L257" i="5" s="1"/>
  <c r="J255" i="5"/>
  <c r="L255" i="5" s="1"/>
  <c r="J253" i="5"/>
  <c r="L253" i="5" s="1"/>
  <c r="J251" i="5"/>
  <c r="L251" i="5" s="1"/>
  <c r="J250" i="5"/>
  <c r="L250" i="5" s="1"/>
  <c r="J249" i="5"/>
  <c r="L249" i="5" s="1"/>
  <c r="J247" i="5"/>
  <c r="J245" i="5"/>
  <c r="L245" i="5" s="1"/>
  <c r="J243" i="5"/>
  <c r="L243" i="5" s="1"/>
  <c r="J241" i="5"/>
  <c r="L241" i="5" s="1"/>
  <c r="J239" i="5"/>
  <c r="L239" i="5" s="1"/>
  <c r="J238" i="5"/>
  <c r="L238" i="5" s="1"/>
  <c r="J237" i="5"/>
  <c r="L237" i="5" s="1"/>
  <c r="J235" i="5"/>
  <c r="L235" i="5" s="1"/>
  <c r="J233" i="5"/>
  <c r="J231" i="5"/>
  <c r="J229" i="5"/>
  <c r="L229" i="5" s="1"/>
  <c r="J227" i="5"/>
  <c r="L227" i="5" s="1"/>
  <c r="J226" i="5"/>
  <c r="L226" i="5" s="1"/>
  <c r="J225" i="5"/>
  <c r="L225" i="5" s="1"/>
  <c r="J223" i="5"/>
  <c r="L223" i="5" s="1"/>
  <c r="J221" i="5"/>
  <c r="L221" i="5" s="1"/>
  <c r="J219" i="5"/>
  <c r="J217" i="5"/>
  <c r="L217" i="5" s="1"/>
  <c r="J215" i="5"/>
  <c r="L215" i="5" s="1"/>
  <c r="J214" i="5"/>
  <c r="L214" i="5" s="1"/>
  <c r="J213" i="5"/>
  <c r="L213" i="5" s="1"/>
  <c r="J211" i="5"/>
  <c r="L211" i="5" s="1"/>
  <c r="J209" i="5"/>
  <c r="L209" i="5" s="1"/>
  <c r="J207" i="5"/>
  <c r="L207" i="5" s="1"/>
  <c r="J205" i="5"/>
  <c r="J203" i="5"/>
  <c r="J202" i="5"/>
  <c r="L202" i="5" s="1"/>
  <c r="J201" i="5"/>
  <c r="L201" i="5" s="1"/>
  <c r="J200" i="5"/>
  <c r="L200" i="5" s="1"/>
  <c r="J198" i="5"/>
  <c r="L198" i="5" s="1"/>
  <c r="J196" i="5"/>
  <c r="L196" i="5" s="1"/>
  <c r="J194" i="5"/>
  <c r="L194" i="5" s="1"/>
  <c r="J192" i="5"/>
  <c r="J191" i="5"/>
  <c r="L191" i="5" s="1"/>
  <c r="J190" i="5"/>
  <c r="L190" i="5" s="1"/>
  <c r="J188" i="5"/>
  <c r="L188" i="5" s="1"/>
  <c r="J186" i="5"/>
  <c r="L186" i="5" s="1"/>
  <c r="J184" i="5"/>
  <c r="L184" i="5" s="1"/>
  <c r="J182" i="5"/>
  <c r="L182" i="5" s="1"/>
  <c r="J180" i="5"/>
  <c r="L180" i="5" s="1"/>
  <c r="J179" i="5"/>
  <c r="J178" i="5"/>
  <c r="J176" i="5"/>
  <c r="L176" i="5" s="1"/>
  <c r="J174" i="5"/>
  <c r="L174" i="5" s="1"/>
  <c r="J172" i="5"/>
  <c r="L172" i="5" s="1"/>
  <c r="J170" i="5"/>
  <c r="L170" i="5" s="1"/>
  <c r="J168" i="5"/>
  <c r="L168" i="5" s="1"/>
  <c r="J167" i="5"/>
  <c r="L167" i="5" s="1"/>
  <c r="J166" i="5"/>
  <c r="J164" i="5"/>
  <c r="L164" i="5" s="1"/>
  <c r="J162" i="5"/>
  <c r="L162" i="5" s="1"/>
  <c r="J160" i="5"/>
  <c r="L160" i="5" s="1"/>
  <c r="J158" i="5"/>
  <c r="L158" i="5" s="1"/>
  <c r="J156" i="5"/>
  <c r="L156" i="5" s="1"/>
  <c r="J155" i="5"/>
  <c r="L155" i="5" s="1"/>
  <c r="J154" i="5"/>
  <c r="L154" i="5" s="1"/>
  <c r="J152" i="5"/>
  <c r="J150" i="5"/>
  <c r="J148" i="5"/>
  <c r="L148" i="5" s="1"/>
  <c r="J146" i="5"/>
  <c r="L146" i="5" s="1"/>
  <c r="J144" i="5"/>
  <c r="L144" i="5" s="1"/>
  <c r="J143" i="5"/>
  <c r="L143" i="5" s="1"/>
  <c r="J142" i="5"/>
  <c r="L142" i="5" s="1"/>
  <c r="J140" i="5"/>
  <c r="L140" i="5" s="1"/>
  <c r="J138" i="5"/>
  <c r="J136" i="5"/>
  <c r="L136" i="5" s="1"/>
  <c r="J134" i="5"/>
  <c r="L134" i="5" s="1"/>
  <c r="J132" i="5"/>
  <c r="L132" i="5" s="1"/>
  <c r="J131" i="5"/>
  <c r="L131" i="5" s="1"/>
  <c r="J130" i="5"/>
  <c r="L130" i="5" s="1"/>
  <c r="J128" i="5"/>
  <c r="L128" i="5" s="1"/>
  <c r="J126" i="5"/>
  <c r="L126" i="5" s="1"/>
  <c r="J124" i="5"/>
  <c r="J122" i="5"/>
  <c r="J120" i="5"/>
  <c r="L120" i="5" s="1"/>
  <c r="J119" i="5"/>
  <c r="L119" i="5" s="1"/>
  <c r="J118" i="5"/>
  <c r="L118" i="5" s="1"/>
  <c r="J116" i="5"/>
  <c r="L116" i="5" s="1"/>
  <c r="J114" i="5"/>
  <c r="L114" i="5" s="1"/>
  <c r="J112" i="5"/>
  <c r="L112" i="5" s="1"/>
  <c r="J110" i="5"/>
  <c r="J108" i="5"/>
  <c r="L108" i="5" s="1"/>
  <c r="J107" i="5"/>
  <c r="L107" i="5" s="1"/>
  <c r="J106" i="5"/>
  <c r="L106" i="5" s="1"/>
  <c r="J104" i="5"/>
  <c r="L104" i="5" s="1"/>
  <c r="J102" i="5"/>
  <c r="L102" i="5" s="1"/>
  <c r="J100" i="5"/>
  <c r="L100" i="5" s="1"/>
  <c r="J98" i="5"/>
  <c r="L98" i="5" s="1"/>
  <c r="J96" i="5"/>
  <c r="J95" i="5"/>
  <c r="J94" i="5"/>
  <c r="L94" i="5" s="1"/>
  <c r="J92" i="5"/>
  <c r="L92" i="5" s="1"/>
  <c r="J90" i="5"/>
  <c r="L90" i="5" s="1"/>
  <c r="J88" i="5"/>
  <c r="L88" i="5" s="1"/>
  <c r="J86" i="5"/>
  <c r="L86" i="5" s="1"/>
  <c r="J84" i="5"/>
  <c r="L84" i="5" s="1"/>
  <c r="J83" i="5"/>
  <c r="J82" i="5"/>
  <c r="L82" i="5" s="1"/>
  <c r="J80" i="5"/>
  <c r="L80" i="5" s="1"/>
  <c r="J78" i="5"/>
  <c r="L78" i="5" s="1"/>
  <c r="J76" i="5"/>
  <c r="L76" i="5" s="1"/>
  <c r="J74" i="5"/>
  <c r="L74" i="5" s="1"/>
  <c r="J72" i="5"/>
  <c r="L72" i="5" s="1"/>
  <c r="J71" i="5"/>
  <c r="L71" i="5" s="1"/>
  <c r="J70" i="5"/>
  <c r="J68" i="5"/>
  <c r="J66" i="5"/>
  <c r="L66" i="5" s="1"/>
  <c r="J64" i="5"/>
  <c r="L64" i="5" s="1"/>
  <c r="J63" i="5"/>
  <c r="L63" i="5" s="1"/>
  <c r="J61" i="5"/>
  <c r="L61" i="5" s="1"/>
  <c r="J60" i="5"/>
  <c r="L60" i="5" s="1"/>
  <c r="J59" i="5"/>
  <c r="L59" i="5" s="1"/>
  <c r="J57" i="5"/>
  <c r="J55" i="5"/>
  <c r="L55" i="5" s="1"/>
  <c r="J53" i="5"/>
  <c r="L53" i="5" s="1"/>
  <c r="J51" i="5"/>
  <c r="L51" i="5" s="1"/>
  <c r="J49" i="5"/>
  <c r="L49" i="5" s="1"/>
  <c r="J48" i="5"/>
  <c r="L48" i="5" s="1"/>
  <c r="J47" i="5"/>
  <c r="L47" i="5" s="1"/>
  <c r="J45" i="5"/>
  <c r="J43" i="5"/>
  <c r="J41" i="5"/>
  <c r="L41" i="5" s="1"/>
  <c r="J39" i="5"/>
  <c r="L39" i="5" s="1"/>
  <c r="J37" i="5"/>
  <c r="L37" i="5" s="1"/>
  <c r="J36" i="5"/>
  <c r="L36" i="5" s="1"/>
  <c r="J35" i="5"/>
  <c r="L35" i="5" s="1"/>
  <c r="J33" i="5"/>
  <c r="L33" i="5" s="1"/>
  <c r="J31" i="5"/>
  <c r="L31" i="5" s="1"/>
  <c r="J29" i="5"/>
  <c r="J27" i="5"/>
  <c r="L27" i="5" s="1"/>
  <c r="J25" i="5"/>
  <c r="L25" i="5" s="1"/>
  <c r="J24" i="5"/>
  <c r="L24" i="5" s="1"/>
  <c r="J23" i="5"/>
  <c r="L23" i="5" s="1"/>
  <c r="J21" i="5"/>
  <c r="L21" i="5" s="1"/>
  <c r="J19" i="5"/>
  <c r="L19" i="5" s="1"/>
  <c r="J17" i="5"/>
  <c r="L17" i="5" s="1"/>
  <c r="J15" i="5"/>
  <c r="J14" i="5"/>
  <c r="L14" i="5" s="1"/>
  <c r="J13" i="5"/>
  <c r="L13" i="5" s="1"/>
  <c r="J12" i="5"/>
  <c r="L12" i="5" s="1"/>
  <c r="J10" i="5"/>
  <c r="L10" i="5" s="1"/>
  <c r="J8" i="5"/>
  <c r="L8" i="5" s="1"/>
  <c r="J6" i="5"/>
  <c r="L6" i="5" s="1"/>
  <c r="J4" i="5"/>
  <c r="L4" i="5" s="1"/>
  <c r="J613" i="5"/>
  <c r="J611" i="5"/>
  <c r="L611" i="5" s="1"/>
  <c r="J609" i="5"/>
  <c r="L609" i="5" s="1"/>
  <c r="J607" i="5"/>
  <c r="L607" i="5" s="1"/>
  <c r="J605" i="5"/>
  <c r="L605" i="5" s="1"/>
  <c r="J601" i="5"/>
  <c r="L601" i="5" s="1"/>
  <c r="J599" i="5"/>
  <c r="L599" i="5" s="1"/>
  <c r="J597" i="5"/>
  <c r="L597" i="5" s="1"/>
  <c r="J595" i="5"/>
  <c r="J593" i="5"/>
  <c r="L593" i="5" s="1"/>
  <c r="J588" i="5"/>
  <c r="L588" i="5" s="1"/>
  <c r="J586" i="5"/>
  <c r="L586" i="5" s="1"/>
  <c r="J584" i="5"/>
  <c r="L584" i="5" s="1"/>
  <c r="J582" i="5"/>
  <c r="L582" i="5" s="1"/>
  <c r="J578" i="5"/>
  <c r="L578" i="5" s="1"/>
  <c r="J576" i="5"/>
  <c r="L576" i="5" s="1"/>
  <c r="J574" i="5"/>
  <c r="J572" i="5"/>
  <c r="L572" i="5" s="1"/>
  <c r="J570" i="5"/>
  <c r="L570" i="5" s="1"/>
  <c r="J566" i="5"/>
  <c r="L566" i="5" s="1"/>
  <c r="J564" i="5"/>
  <c r="L564" i="5" s="1"/>
  <c r="J562" i="5"/>
  <c r="L562" i="5" s="1"/>
  <c r="J560" i="5"/>
  <c r="L560" i="5" s="1"/>
  <c r="J558" i="5"/>
  <c r="L558" i="5" s="1"/>
  <c r="J554" i="5"/>
  <c r="J552" i="5"/>
  <c r="L552" i="5" s="1"/>
  <c r="J550" i="5"/>
  <c r="L550" i="5" s="1"/>
  <c r="J548" i="5"/>
  <c r="L548" i="5" s="1"/>
  <c r="J546" i="5"/>
  <c r="L546" i="5" s="1"/>
  <c r="J541" i="5"/>
  <c r="L541" i="5" s="1"/>
  <c r="J539" i="5"/>
  <c r="L539" i="5" s="1"/>
  <c r="J537" i="5"/>
  <c r="L537" i="5" s="1"/>
  <c r="J535" i="5"/>
  <c r="J531" i="5"/>
  <c r="L531" i="5" s="1"/>
  <c r="J529" i="5"/>
  <c r="L529" i="5" s="1"/>
  <c r="J527" i="5"/>
  <c r="L527" i="5" s="1"/>
  <c r="J525" i="5"/>
  <c r="L525" i="5" s="1"/>
  <c r="J523" i="5"/>
  <c r="L523" i="5" s="1"/>
  <c r="J520" i="5"/>
  <c r="L520" i="5" s="1"/>
  <c r="J518" i="5"/>
  <c r="L518" i="5" s="1"/>
  <c r="J516" i="5"/>
  <c r="J514" i="5"/>
  <c r="L514" i="5" s="1"/>
  <c r="J512" i="5"/>
  <c r="L512" i="5" s="1"/>
  <c r="J508" i="5"/>
  <c r="L508" i="5" s="1"/>
  <c r="J506" i="5"/>
  <c r="L506" i="5" s="1"/>
  <c r="J504" i="5"/>
  <c r="L504" i="5" s="1"/>
  <c r="J502" i="5"/>
  <c r="L502" i="5" s="1"/>
  <c r="J500" i="5"/>
  <c r="L500" i="5" s="1"/>
  <c r="J496" i="5"/>
  <c r="J494" i="5"/>
  <c r="L494" i="5" s="1"/>
  <c r="J492" i="5"/>
  <c r="L492" i="5" s="1"/>
  <c r="J490" i="5"/>
  <c r="L490" i="5" s="1"/>
  <c r="J488" i="5"/>
  <c r="L488" i="5" s="1"/>
  <c r="J484" i="5"/>
  <c r="L484" i="5" s="1"/>
  <c r="J482" i="5"/>
  <c r="L482" i="5" s="1"/>
  <c r="J480" i="5"/>
  <c r="L480" i="5" s="1"/>
  <c r="J478" i="5"/>
  <c r="J476" i="5"/>
  <c r="L476" i="5" s="1"/>
  <c r="J472" i="5"/>
  <c r="L472" i="5" s="1"/>
  <c r="J470" i="5"/>
  <c r="L470" i="5" s="1"/>
  <c r="J468" i="5"/>
  <c r="L468" i="5" s="1"/>
  <c r="J466" i="5"/>
  <c r="L466" i="5" s="1"/>
  <c r="J461" i="5"/>
  <c r="L461" i="5" s="1"/>
  <c r="J459" i="5"/>
  <c r="L459" i="5" s="1"/>
  <c r="J457" i="5"/>
  <c r="J455" i="5"/>
  <c r="L455" i="5" s="1"/>
  <c r="J453" i="5"/>
  <c r="L453" i="5" s="1"/>
  <c r="J449" i="5"/>
  <c r="L449" i="5" s="1"/>
  <c r="J447" i="5"/>
  <c r="L447" i="5" s="1"/>
  <c r="J445" i="5"/>
  <c r="L445" i="5" s="1"/>
  <c r="J443" i="5"/>
  <c r="L443" i="5" s="1"/>
  <c r="J441" i="5"/>
  <c r="L441" i="5" s="1"/>
  <c r="J437" i="5"/>
  <c r="J435" i="5"/>
  <c r="L435" i="5" s="1"/>
  <c r="J433" i="5"/>
  <c r="L433" i="5" s="1"/>
  <c r="J431" i="5"/>
  <c r="L431" i="5" s="1"/>
  <c r="J429" i="5"/>
  <c r="L429" i="5" s="1"/>
  <c r="J425" i="5"/>
  <c r="L425" i="5" s="1"/>
  <c r="J423" i="5"/>
  <c r="L423" i="5" s="1"/>
  <c r="J421" i="5"/>
  <c r="L421" i="5" s="1"/>
  <c r="J419" i="5"/>
  <c r="J417" i="5"/>
  <c r="L417" i="5" s="1"/>
  <c r="J414" i="5"/>
  <c r="L414" i="5" s="1"/>
  <c r="J412" i="5"/>
  <c r="L412" i="5" s="1"/>
  <c r="J410" i="5"/>
  <c r="L410" i="5" s="1"/>
  <c r="J408" i="5"/>
  <c r="L408" i="5" s="1"/>
  <c r="J406" i="5"/>
  <c r="L406" i="5" s="1"/>
  <c r="J402" i="5"/>
  <c r="L402" i="5" s="1"/>
  <c r="J400" i="5"/>
  <c r="J398" i="5"/>
  <c r="L398" i="5" s="1"/>
  <c r="J396" i="5"/>
  <c r="L396" i="5" s="1"/>
  <c r="J394" i="5"/>
  <c r="L394" i="5" s="1"/>
  <c r="J390" i="5"/>
  <c r="L390" i="5" s="1"/>
  <c r="J388" i="5"/>
  <c r="L388" i="5" s="1"/>
  <c r="J386" i="5"/>
  <c r="L386" i="5" s="1"/>
  <c r="J384" i="5"/>
  <c r="L384" i="5" s="1"/>
  <c r="J382" i="5"/>
  <c r="J378" i="5"/>
  <c r="L378" i="5" s="1"/>
  <c r="J376" i="5"/>
  <c r="L376" i="5" s="1"/>
  <c r="J374" i="5"/>
  <c r="L374" i="5" s="1"/>
  <c r="J372" i="5"/>
  <c r="L372" i="5" s="1"/>
  <c r="J370" i="5"/>
  <c r="L370" i="5" s="1"/>
  <c r="J365" i="5"/>
  <c r="L365" i="5" s="1"/>
  <c r="J363" i="5"/>
  <c r="L363" i="5" s="1"/>
  <c r="J361" i="5"/>
  <c r="J359" i="5"/>
  <c r="L359" i="5" s="1"/>
  <c r="J355" i="5"/>
  <c r="L355" i="5" s="1"/>
  <c r="J353" i="5"/>
  <c r="L353" i="5" s="1"/>
  <c r="J351" i="5"/>
  <c r="L351" i="5" s="1"/>
  <c r="J349" i="5"/>
  <c r="L349" i="5" s="1"/>
  <c r="J347" i="5"/>
  <c r="L347" i="5" s="1"/>
  <c r="J343" i="5"/>
  <c r="L343" i="5" s="1"/>
  <c r="J341" i="5"/>
  <c r="J339" i="5"/>
  <c r="L339" i="5" s="1"/>
  <c r="J337" i="5"/>
  <c r="L337" i="5" s="1"/>
  <c r="J335" i="5"/>
  <c r="L335" i="5" s="1"/>
  <c r="J331" i="5"/>
  <c r="L331" i="5" s="1"/>
  <c r="J329" i="5"/>
  <c r="L329" i="5" s="1"/>
  <c r="J327" i="5"/>
  <c r="L327" i="5" s="1"/>
  <c r="J325" i="5"/>
  <c r="L325" i="5" s="1"/>
  <c r="J323" i="5"/>
  <c r="J319" i="5"/>
  <c r="L319" i="5" s="1"/>
  <c r="J317" i="5"/>
  <c r="L317" i="5" s="1"/>
  <c r="J315" i="5"/>
  <c r="L315" i="5" s="1"/>
  <c r="J313" i="5"/>
  <c r="L313" i="5" s="1"/>
  <c r="J311" i="5"/>
  <c r="L311" i="5" s="1"/>
  <c r="J306" i="5"/>
  <c r="L306" i="5" s="1"/>
  <c r="J304" i="5"/>
  <c r="L304" i="5" s="1"/>
  <c r="J302" i="5"/>
  <c r="J300" i="5"/>
  <c r="L300" i="5" s="1"/>
  <c r="J296" i="5"/>
  <c r="L296" i="5" s="1"/>
  <c r="J294" i="5"/>
  <c r="L294" i="5" s="1"/>
  <c r="J292" i="5"/>
  <c r="L292" i="5" s="1"/>
  <c r="J290" i="5"/>
  <c r="L290" i="5" s="1"/>
  <c r="J288" i="5"/>
  <c r="L288" i="5" s="1"/>
  <c r="J284" i="5"/>
  <c r="L284" i="5" s="1"/>
  <c r="J282" i="5"/>
  <c r="J280" i="5"/>
  <c r="L280" i="5" s="1"/>
  <c r="J278" i="5"/>
  <c r="L278" i="5" s="1"/>
  <c r="J276" i="5"/>
  <c r="L276" i="5" s="1"/>
  <c r="J272" i="5"/>
  <c r="L272" i="5" s="1"/>
  <c r="J270" i="5"/>
  <c r="L270" i="5" s="1"/>
  <c r="J268" i="5"/>
  <c r="L268" i="5" s="1"/>
  <c r="J266" i="5"/>
  <c r="L266" i="5" s="1"/>
  <c r="J264" i="5"/>
  <c r="J260" i="5"/>
  <c r="L260" i="5" s="1"/>
  <c r="J258" i="5"/>
  <c r="L258" i="5" s="1"/>
  <c r="J256" i="5"/>
  <c r="L256" i="5" s="1"/>
  <c r="J254" i="5"/>
  <c r="L254" i="5" s="1"/>
  <c r="J252" i="5"/>
  <c r="L252" i="5" s="1"/>
  <c r="J248" i="5"/>
  <c r="L248" i="5" s="1"/>
  <c r="J246" i="5"/>
  <c r="L246" i="5" s="1"/>
  <c r="J244" i="5"/>
  <c r="J242" i="5"/>
  <c r="L242" i="5" s="1"/>
  <c r="J240" i="5"/>
  <c r="L240" i="5" s="1"/>
  <c r="J236" i="5"/>
  <c r="L236" i="5" s="1"/>
  <c r="J234" i="5"/>
  <c r="L234" i="5" s="1"/>
  <c r="J232" i="5"/>
  <c r="L232" i="5" s="1"/>
  <c r="J230" i="5"/>
  <c r="L230" i="5" s="1"/>
  <c r="J228" i="5"/>
  <c r="L228" i="5" s="1"/>
  <c r="J224" i="5"/>
  <c r="J222" i="5"/>
  <c r="L222" i="5" s="1"/>
  <c r="J220" i="5"/>
  <c r="L220" i="5" s="1"/>
  <c r="J218" i="5"/>
  <c r="L218" i="5" s="1"/>
  <c r="J216" i="5"/>
  <c r="L216" i="5" s="1"/>
  <c r="J212" i="5"/>
  <c r="L212" i="5" s="1"/>
  <c r="J210" i="5"/>
  <c r="L210" i="5" s="1"/>
  <c r="J208" i="5"/>
  <c r="L208" i="5" s="1"/>
  <c r="J206" i="5"/>
  <c r="J204" i="5"/>
  <c r="L204" i="5" s="1"/>
  <c r="J199" i="5"/>
  <c r="L199" i="5" s="1"/>
  <c r="J197" i="5"/>
  <c r="L197" i="5" s="1"/>
  <c r="J195" i="5"/>
  <c r="L195" i="5" s="1"/>
  <c r="J193" i="5"/>
  <c r="L193" i="5" s="1"/>
  <c r="J189" i="5"/>
  <c r="L189" i="5" s="1"/>
  <c r="J187" i="5"/>
  <c r="L187" i="5" s="1"/>
  <c r="J185" i="5"/>
  <c r="J183" i="5"/>
  <c r="L183" i="5" s="1"/>
  <c r="J181" i="5"/>
  <c r="L181" i="5" s="1"/>
  <c r="J177" i="5"/>
  <c r="L177" i="5" s="1"/>
  <c r="J175" i="5"/>
  <c r="L175" i="5" s="1"/>
  <c r="J173" i="5"/>
  <c r="L173" i="5" s="1"/>
  <c r="J171" i="5"/>
  <c r="L171" i="5" s="1"/>
  <c r="J169" i="5"/>
  <c r="L169" i="5" s="1"/>
  <c r="J165" i="5"/>
  <c r="J163" i="5"/>
  <c r="L163" i="5" s="1"/>
  <c r="J161" i="5"/>
  <c r="L161" i="5" s="1"/>
  <c r="J159" i="5"/>
  <c r="L159" i="5" s="1"/>
  <c r="J157" i="5"/>
  <c r="L157" i="5" s="1"/>
  <c r="J153" i="5"/>
  <c r="L153" i="5" s="1"/>
  <c r="J151" i="5"/>
  <c r="L151" i="5" s="1"/>
  <c r="J149" i="5"/>
  <c r="L149" i="5" s="1"/>
  <c r="J147" i="5"/>
  <c r="J145" i="5"/>
  <c r="L145" i="5" s="1"/>
  <c r="J141" i="5"/>
  <c r="L141" i="5" s="1"/>
  <c r="J139" i="5"/>
  <c r="L139" i="5" s="1"/>
  <c r="J137" i="5"/>
  <c r="L137" i="5" s="1"/>
  <c r="J135" i="5"/>
  <c r="L135" i="5" s="1"/>
  <c r="J133" i="5"/>
  <c r="L133" i="5" s="1"/>
  <c r="J129" i="5"/>
  <c r="L129" i="5" s="1"/>
  <c r="J127" i="5"/>
  <c r="J125" i="5"/>
  <c r="L125" i="5" s="1"/>
  <c r="J123" i="5"/>
  <c r="L123" i="5" s="1"/>
  <c r="J121" i="5"/>
  <c r="L121" i="5" s="1"/>
  <c r="J117" i="5"/>
  <c r="L117" i="5" s="1"/>
  <c r="J115" i="5"/>
  <c r="L115" i="5" s="1"/>
  <c r="J113" i="5"/>
  <c r="L113" i="5" s="1"/>
  <c r="J111" i="5"/>
  <c r="L111" i="5" s="1"/>
  <c r="J109" i="5"/>
  <c r="J105" i="5"/>
  <c r="L105" i="5" s="1"/>
  <c r="J103" i="5"/>
  <c r="L103" i="5" s="1"/>
  <c r="J101" i="5"/>
  <c r="L101" i="5" s="1"/>
  <c r="J99" i="5"/>
  <c r="L99" i="5" s="1"/>
  <c r="J97" i="5"/>
  <c r="L97" i="5" s="1"/>
  <c r="J93" i="5"/>
  <c r="L93" i="5" s="1"/>
  <c r="J91" i="5"/>
  <c r="L91" i="5" s="1"/>
  <c r="J89" i="5"/>
  <c r="J87" i="5"/>
  <c r="L87" i="5" s="1"/>
  <c r="J85" i="5"/>
  <c r="L85" i="5" s="1"/>
  <c r="J81" i="5"/>
  <c r="L81" i="5" s="1"/>
  <c r="J79" i="5"/>
  <c r="L79" i="5" s="1"/>
  <c r="J77" i="5"/>
  <c r="L77" i="5" s="1"/>
  <c r="J75" i="5"/>
  <c r="L75" i="5" s="1"/>
  <c r="J73" i="5"/>
  <c r="L73" i="5" s="1"/>
  <c r="J69" i="5"/>
  <c r="J67" i="5"/>
  <c r="L67" i="5" s="1"/>
  <c r="J65" i="5"/>
  <c r="L65" i="5" s="1"/>
  <c r="J62" i="5"/>
  <c r="L62" i="5" s="1"/>
  <c r="J58" i="5"/>
  <c r="L58" i="5" s="1"/>
  <c r="J56" i="5"/>
  <c r="L56" i="5" s="1"/>
  <c r="J54" i="5"/>
  <c r="L54" i="5" s="1"/>
  <c r="J52" i="5"/>
  <c r="J50" i="5"/>
  <c r="L50" i="5" s="1"/>
  <c r="J46" i="5"/>
  <c r="L46" i="5" s="1"/>
  <c r="J44" i="5"/>
  <c r="L44" i="5" s="1"/>
  <c r="J42" i="5"/>
  <c r="L42" i="5" s="1"/>
  <c r="J40" i="5"/>
  <c r="J38" i="5"/>
  <c r="L38" i="5" s="1"/>
  <c r="J34" i="5"/>
  <c r="L34" i="5" s="1"/>
  <c r="J32" i="5"/>
  <c r="L32" i="5" s="1"/>
  <c r="J30" i="5"/>
  <c r="L30" i="5" s="1"/>
  <c r="J28" i="5"/>
  <c r="L28" i="5" s="1"/>
  <c r="J26" i="5"/>
  <c r="L26" i="5" s="1"/>
  <c r="J22" i="5"/>
  <c r="L22" i="5" s="1"/>
  <c r="J20" i="5"/>
  <c r="J18" i="5"/>
  <c r="J16" i="5"/>
  <c r="L16" i="5" s="1"/>
  <c r="J11" i="5"/>
  <c r="L11" i="5" s="1"/>
  <c r="J9" i="5"/>
  <c r="L9" i="5" s="1"/>
  <c r="J7" i="5"/>
  <c r="L7" i="5" s="1"/>
  <c r="J5" i="5"/>
  <c r="L5" i="5" s="1"/>
  <c r="J3" i="5"/>
  <c r="L3" i="5" s="1"/>
  <c r="K614" i="5"/>
  <c r="K612" i="5"/>
  <c r="K610" i="5"/>
  <c r="K608" i="5"/>
  <c r="K606" i="5"/>
  <c r="K604" i="5"/>
  <c r="K603" i="5"/>
  <c r="K602" i="5"/>
  <c r="K600" i="5"/>
  <c r="K598" i="5"/>
  <c r="K596" i="5"/>
  <c r="K594" i="5"/>
  <c r="K592" i="5"/>
  <c r="K591" i="5"/>
  <c r="K590" i="5"/>
  <c r="K589" i="5"/>
  <c r="K587" i="5"/>
  <c r="K585" i="5"/>
  <c r="K583" i="5"/>
  <c r="K581" i="5"/>
  <c r="K580" i="5"/>
  <c r="K579" i="5"/>
  <c r="K577" i="5"/>
  <c r="K575" i="5"/>
  <c r="K573" i="5"/>
  <c r="K571" i="5"/>
  <c r="K569" i="5"/>
  <c r="K568" i="5"/>
  <c r="K567" i="5"/>
  <c r="K565" i="5"/>
  <c r="K563" i="5"/>
  <c r="K561" i="5"/>
  <c r="K559" i="5"/>
  <c r="K557" i="5"/>
  <c r="K556" i="5"/>
  <c r="K555" i="5"/>
  <c r="K553" i="5"/>
  <c r="K551" i="5"/>
  <c r="K549" i="5"/>
  <c r="K547" i="5"/>
  <c r="K545" i="5"/>
  <c r="K544" i="5"/>
  <c r="K543" i="5"/>
  <c r="K542" i="5"/>
  <c r="K540" i="5"/>
  <c r="K538" i="5"/>
  <c r="K536" i="5"/>
  <c r="K534" i="5"/>
  <c r="K533" i="5"/>
  <c r="K532" i="5"/>
  <c r="K530" i="5"/>
  <c r="K528" i="5"/>
  <c r="K526" i="5"/>
  <c r="K524" i="5"/>
  <c r="K522" i="5"/>
  <c r="K521" i="5"/>
  <c r="K519" i="5"/>
  <c r="K517" i="5"/>
  <c r="K515" i="5"/>
  <c r="K513" i="5"/>
  <c r="K511" i="5"/>
  <c r="K510" i="5"/>
  <c r="K509" i="5"/>
  <c r="K507" i="5"/>
  <c r="K505" i="5"/>
  <c r="K503" i="5"/>
  <c r="K501" i="5"/>
  <c r="K499" i="5"/>
  <c r="K498" i="5"/>
  <c r="K497" i="5"/>
  <c r="K495" i="5"/>
  <c r="K493" i="5"/>
  <c r="K491" i="5"/>
  <c r="K489" i="5"/>
  <c r="K487" i="5"/>
  <c r="K486" i="5"/>
  <c r="K485" i="5"/>
  <c r="K483" i="5"/>
  <c r="K481" i="5"/>
  <c r="K479" i="5"/>
  <c r="K477" i="5"/>
  <c r="K475" i="5"/>
  <c r="K474" i="5"/>
  <c r="K473" i="5"/>
  <c r="K471" i="5"/>
  <c r="K469" i="5"/>
  <c r="K467" i="5"/>
  <c r="K465" i="5"/>
  <c r="K464" i="5"/>
  <c r="K463" i="5"/>
  <c r="K462" i="5"/>
  <c r="K460" i="5"/>
  <c r="K458" i="5"/>
  <c r="K456" i="5"/>
  <c r="K454" i="5"/>
  <c r="K452" i="5"/>
  <c r="K451" i="5"/>
  <c r="K450" i="5"/>
  <c r="K448" i="5"/>
  <c r="K446" i="5"/>
  <c r="K444" i="5"/>
  <c r="K442" i="5"/>
  <c r="K440" i="5"/>
  <c r="K439" i="5"/>
  <c r="K438" i="5"/>
  <c r="K436" i="5"/>
  <c r="K434" i="5"/>
  <c r="K432" i="5"/>
  <c r="K430" i="5"/>
  <c r="K428" i="5"/>
  <c r="K427" i="5"/>
  <c r="K426" i="5"/>
  <c r="K424" i="5"/>
  <c r="K422" i="5"/>
  <c r="K420" i="5"/>
  <c r="K418" i="5"/>
  <c r="K416" i="5"/>
  <c r="K415" i="5"/>
  <c r="K413" i="5"/>
  <c r="K411" i="5"/>
  <c r="K409" i="5"/>
  <c r="K407" i="5"/>
  <c r="K405" i="5"/>
  <c r="K404" i="5"/>
  <c r="K403" i="5"/>
  <c r="K401" i="5"/>
  <c r="K399" i="5"/>
  <c r="K397" i="5"/>
  <c r="K395" i="5"/>
  <c r="K393" i="5"/>
  <c r="K392" i="5"/>
  <c r="K391" i="5"/>
  <c r="K389" i="5"/>
  <c r="K387" i="5"/>
  <c r="K385" i="5"/>
  <c r="K383" i="5"/>
  <c r="K381" i="5"/>
  <c r="K380" i="5"/>
  <c r="K379" i="5"/>
  <c r="K377" i="5"/>
  <c r="K375" i="5"/>
  <c r="K373" i="5"/>
  <c r="K371" i="5"/>
  <c r="K369" i="5"/>
  <c r="K368" i="5"/>
  <c r="K367" i="5"/>
  <c r="K366" i="5"/>
  <c r="K364" i="5"/>
  <c r="K362" i="5"/>
  <c r="K360" i="5"/>
  <c r="K358" i="5"/>
  <c r="K357" i="5"/>
  <c r="K356" i="5"/>
  <c r="K354" i="5"/>
  <c r="K352" i="5"/>
  <c r="K350" i="5"/>
  <c r="K348" i="5"/>
  <c r="K346" i="5"/>
  <c r="K345" i="5"/>
  <c r="K344" i="5"/>
  <c r="K342" i="5"/>
  <c r="K340" i="5"/>
  <c r="K338" i="5"/>
  <c r="K336" i="5"/>
  <c r="K334" i="5"/>
  <c r="K333" i="5"/>
  <c r="K332" i="5"/>
  <c r="K330" i="5"/>
  <c r="K328" i="5"/>
  <c r="K326" i="5"/>
  <c r="K324" i="5"/>
  <c r="K322" i="5"/>
  <c r="K321" i="5"/>
  <c r="K320" i="5"/>
  <c r="K318" i="5"/>
  <c r="K316" i="5"/>
  <c r="K314" i="5"/>
  <c r="K312" i="5"/>
  <c r="K310" i="5"/>
  <c r="K309" i="5"/>
  <c r="K308" i="5"/>
  <c r="K307" i="5"/>
  <c r="K305" i="5"/>
  <c r="K303" i="5"/>
  <c r="K301" i="5"/>
  <c r="K299" i="5"/>
  <c r="K298" i="5"/>
  <c r="K297" i="5"/>
  <c r="K295" i="5"/>
  <c r="K293" i="5"/>
  <c r="K291" i="5"/>
  <c r="K289" i="5"/>
  <c r="K287" i="5"/>
  <c r="K286" i="5"/>
  <c r="K285" i="5"/>
  <c r="K283" i="5"/>
  <c r="K281" i="5"/>
  <c r="K279" i="5"/>
  <c r="K277" i="5"/>
  <c r="K275" i="5"/>
  <c r="K274" i="5"/>
  <c r="K273" i="5"/>
  <c r="K271" i="5"/>
  <c r="K269" i="5"/>
  <c r="K267" i="5"/>
  <c r="K265" i="5"/>
  <c r="K263" i="5"/>
  <c r="K262" i="5"/>
  <c r="K261" i="5"/>
  <c r="K259" i="5"/>
  <c r="K257" i="5"/>
  <c r="K255" i="5"/>
  <c r="K253" i="5"/>
  <c r="K251" i="5"/>
  <c r="K250" i="5"/>
  <c r="K249" i="5"/>
  <c r="K247" i="5"/>
  <c r="K245" i="5"/>
  <c r="K243" i="5"/>
  <c r="K241" i="5"/>
  <c r="K239" i="5"/>
  <c r="K238" i="5"/>
  <c r="K237" i="5"/>
  <c r="K235" i="5"/>
  <c r="K233" i="5"/>
  <c r="K231" i="5"/>
  <c r="K229" i="5"/>
  <c r="K227" i="5"/>
  <c r="K226" i="5"/>
  <c r="K225" i="5"/>
  <c r="K223" i="5"/>
  <c r="K221" i="5"/>
  <c r="K219" i="5"/>
  <c r="K217" i="5"/>
  <c r="K215" i="5"/>
  <c r="K214" i="5"/>
  <c r="K213" i="5"/>
  <c r="K211" i="5"/>
  <c r="K209" i="5"/>
  <c r="K207" i="5"/>
  <c r="K205" i="5"/>
  <c r="K203" i="5"/>
  <c r="K202" i="5"/>
  <c r="K201" i="5"/>
  <c r="K200" i="5"/>
  <c r="K198" i="5"/>
  <c r="K196" i="5"/>
  <c r="K194" i="5"/>
  <c r="K192" i="5"/>
  <c r="K191" i="5"/>
  <c r="K190" i="5"/>
  <c r="K188" i="5"/>
  <c r="K186" i="5"/>
  <c r="K184" i="5"/>
  <c r="K182" i="5"/>
  <c r="K180" i="5"/>
  <c r="K179" i="5"/>
  <c r="K178" i="5"/>
  <c r="K176" i="5"/>
  <c r="K174" i="5"/>
  <c r="K172" i="5"/>
  <c r="K170" i="5"/>
  <c r="K168" i="5"/>
  <c r="K167" i="5"/>
  <c r="K166" i="5"/>
  <c r="K164" i="5"/>
  <c r="K162" i="5"/>
  <c r="K160" i="5"/>
  <c r="K158" i="5"/>
  <c r="K156" i="5"/>
  <c r="K155" i="5"/>
  <c r="K154" i="5"/>
  <c r="K152" i="5"/>
  <c r="K150" i="5"/>
  <c r="K148" i="5"/>
  <c r="K146" i="5"/>
  <c r="K144" i="5"/>
  <c r="K143" i="5"/>
  <c r="K142" i="5"/>
  <c r="K140" i="5"/>
  <c r="K138" i="5"/>
  <c r="K136" i="5"/>
  <c r="K134" i="5"/>
  <c r="K132" i="5"/>
  <c r="K131" i="5"/>
  <c r="K130" i="5"/>
  <c r="K128" i="5"/>
  <c r="K126" i="5"/>
  <c r="K124" i="5"/>
  <c r="K122" i="5"/>
  <c r="K120" i="5"/>
  <c r="K119" i="5"/>
  <c r="K118" i="5"/>
  <c r="K116" i="5"/>
  <c r="K114" i="5"/>
  <c r="K112" i="5"/>
  <c r="K110" i="5"/>
  <c r="K108" i="5"/>
  <c r="K107" i="5"/>
  <c r="K106" i="5"/>
  <c r="K104" i="5"/>
  <c r="K102" i="5"/>
  <c r="K100" i="5"/>
  <c r="K98" i="5"/>
  <c r="K96" i="5"/>
  <c r="K95" i="5"/>
  <c r="K94" i="5"/>
  <c r="K92" i="5"/>
  <c r="K90" i="5"/>
  <c r="K88" i="5"/>
  <c r="K86" i="5"/>
  <c r="K84" i="5"/>
  <c r="K83" i="5"/>
  <c r="K82" i="5"/>
  <c r="K80" i="5"/>
  <c r="K78" i="5"/>
  <c r="K76" i="5"/>
  <c r="K74" i="5"/>
  <c r="K72" i="5"/>
  <c r="K71" i="5"/>
  <c r="K70" i="5"/>
  <c r="K68" i="5"/>
  <c r="K66" i="5"/>
  <c r="K64" i="5"/>
  <c r="K63" i="5"/>
  <c r="K61" i="5"/>
  <c r="K60" i="5"/>
  <c r="K59" i="5"/>
  <c r="K57" i="5"/>
  <c r="K55" i="5"/>
  <c r="K53" i="5"/>
  <c r="K51" i="5"/>
  <c r="K49" i="5"/>
  <c r="K48" i="5"/>
  <c r="K47" i="5"/>
  <c r="K45" i="5"/>
  <c r="K43" i="5"/>
  <c r="K41" i="5"/>
  <c r="K39" i="5"/>
  <c r="K37" i="5"/>
  <c r="K36" i="5"/>
  <c r="K35" i="5"/>
  <c r="K33" i="5"/>
  <c r="K31" i="5"/>
  <c r="K29" i="5"/>
  <c r="K27" i="5"/>
  <c r="K25" i="5"/>
  <c r="K24" i="5"/>
  <c r="K23" i="5"/>
  <c r="K21" i="5"/>
  <c r="K19" i="5"/>
  <c r="K17" i="5"/>
  <c r="K15" i="5"/>
  <c r="K14" i="5"/>
  <c r="K13" i="5"/>
  <c r="K12" i="5"/>
  <c r="K10" i="5"/>
  <c r="K8" i="5"/>
  <c r="K6" i="5"/>
  <c r="K4" i="5"/>
  <c r="K613" i="5"/>
  <c r="K611" i="5"/>
  <c r="K609" i="5"/>
  <c r="K607" i="5"/>
  <c r="K605" i="5"/>
  <c r="K601" i="5"/>
  <c r="K599" i="5"/>
  <c r="K597" i="5"/>
  <c r="K595" i="5"/>
  <c r="K593" i="5"/>
  <c r="K588" i="5"/>
  <c r="K586" i="5"/>
  <c r="K584" i="5"/>
  <c r="K582" i="5"/>
  <c r="K578" i="5"/>
  <c r="K576" i="5"/>
  <c r="K574" i="5"/>
  <c r="K572" i="5"/>
  <c r="K570" i="5"/>
  <c r="K566" i="5"/>
  <c r="K564" i="5"/>
  <c r="K562" i="5"/>
  <c r="K560" i="5"/>
  <c r="K558" i="5"/>
  <c r="K554" i="5"/>
  <c r="K552" i="5"/>
  <c r="K550" i="5"/>
  <c r="K548" i="5"/>
  <c r="K546" i="5"/>
  <c r="K541" i="5"/>
  <c r="K539" i="5"/>
  <c r="K537" i="5"/>
  <c r="K535" i="5"/>
  <c r="K531" i="5"/>
  <c r="K529" i="5"/>
  <c r="K527" i="5"/>
  <c r="K525" i="5"/>
  <c r="K523" i="5"/>
  <c r="K520" i="5"/>
  <c r="K518" i="5"/>
  <c r="K516" i="5"/>
  <c r="K514" i="5"/>
  <c r="K512" i="5"/>
  <c r="K508" i="5"/>
  <c r="K506" i="5"/>
  <c r="K504" i="5"/>
  <c r="K502" i="5"/>
  <c r="K500" i="5"/>
  <c r="K496" i="5"/>
  <c r="K494" i="5"/>
  <c r="K492" i="5"/>
  <c r="K490" i="5"/>
  <c r="K488" i="5"/>
  <c r="K484" i="5"/>
  <c r="K482" i="5"/>
  <c r="K480" i="5"/>
  <c r="K478" i="5"/>
  <c r="K476" i="5"/>
  <c r="K472" i="5"/>
  <c r="K470" i="5"/>
  <c r="K468" i="5"/>
  <c r="K466" i="5"/>
  <c r="K461" i="5"/>
  <c r="K459" i="5"/>
  <c r="K457" i="5"/>
  <c r="K455" i="5"/>
  <c r="K453" i="5"/>
  <c r="K449" i="5"/>
  <c r="K447" i="5"/>
  <c r="K445" i="5"/>
  <c r="K443" i="5"/>
  <c r="K441" i="5"/>
  <c r="K437" i="5"/>
  <c r="K435" i="5"/>
  <c r="K433" i="5"/>
  <c r="K431" i="5"/>
  <c r="K429" i="5"/>
  <c r="K425" i="5"/>
  <c r="K423" i="5"/>
  <c r="K421" i="5"/>
  <c r="K419" i="5"/>
  <c r="K417" i="5"/>
  <c r="K414" i="5"/>
  <c r="K412" i="5"/>
  <c r="K410" i="5"/>
  <c r="K408" i="5"/>
  <c r="K406" i="5"/>
  <c r="K402" i="5"/>
  <c r="K400" i="5"/>
  <c r="K398" i="5"/>
  <c r="K396" i="5"/>
  <c r="K394" i="5"/>
  <c r="K390" i="5"/>
  <c r="K388" i="5"/>
  <c r="K386" i="5"/>
  <c r="K384" i="5"/>
  <c r="K382" i="5"/>
  <c r="K378" i="5"/>
  <c r="K376" i="5"/>
  <c r="K374" i="5"/>
  <c r="K372" i="5"/>
  <c r="K370" i="5"/>
  <c r="K365" i="5"/>
  <c r="K363" i="5"/>
  <c r="K361" i="5"/>
  <c r="K359" i="5"/>
  <c r="K355" i="5"/>
  <c r="K353" i="5"/>
  <c r="K351" i="5"/>
  <c r="K349" i="5"/>
  <c r="K347" i="5"/>
  <c r="K343" i="5"/>
  <c r="K341" i="5"/>
  <c r="K339" i="5"/>
  <c r="K337" i="5"/>
  <c r="K335" i="5"/>
  <c r="K331" i="5"/>
  <c r="K329" i="5"/>
  <c r="K327" i="5"/>
  <c r="K325" i="5"/>
  <c r="K323" i="5"/>
  <c r="K319" i="5"/>
  <c r="K317" i="5"/>
  <c r="K315" i="5"/>
  <c r="K313" i="5"/>
  <c r="K311" i="5"/>
  <c r="K306" i="5"/>
  <c r="K304" i="5"/>
  <c r="K302" i="5"/>
  <c r="K300" i="5"/>
  <c r="K296" i="5"/>
  <c r="K294" i="5"/>
  <c r="K292" i="5"/>
  <c r="K290" i="5"/>
  <c r="K288" i="5"/>
  <c r="K284" i="5"/>
  <c r="K282" i="5"/>
  <c r="K280" i="5"/>
  <c r="K278" i="5"/>
  <c r="K276" i="5"/>
  <c r="K272" i="5"/>
  <c r="K270" i="5"/>
  <c r="K268" i="5"/>
  <c r="K266" i="5"/>
  <c r="K264" i="5"/>
  <c r="K260" i="5"/>
  <c r="K258" i="5"/>
  <c r="K256" i="5"/>
  <c r="K254" i="5"/>
  <c r="K252" i="5"/>
  <c r="K248" i="5"/>
  <c r="K246" i="5"/>
  <c r="K244" i="5"/>
  <c r="K242" i="5"/>
  <c r="K240" i="5"/>
  <c r="K236" i="5"/>
  <c r="K234" i="5"/>
  <c r="K232" i="5"/>
  <c r="K230" i="5"/>
  <c r="K228" i="5"/>
  <c r="K224" i="5"/>
  <c r="K222" i="5"/>
  <c r="K220" i="5"/>
  <c r="K218" i="5"/>
  <c r="K216" i="5"/>
  <c r="K212" i="5"/>
  <c r="K210" i="5"/>
  <c r="K208" i="5"/>
  <c r="K206" i="5"/>
  <c r="K204" i="5"/>
  <c r="K199" i="5"/>
  <c r="K197" i="5"/>
  <c r="K195" i="5"/>
  <c r="K193" i="5"/>
  <c r="K189" i="5"/>
  <c r="K187" i="5"/>
  <c r="K185" i="5"/>
  <c r="K183" i="5"/>
  <c r="K181" i="5"/>
  <c r="K177" i="5"/>
  <c r="K175" i="5"/>
  <c r="K173" i="5"/>
  <c r="K171" i="5"/>
  <c r="K169" i="5"/>
  <c r="K165" i="5"/>
  <c r="K163" i="5"/>
  <c r="K161" i="5"/>
  <c r="K159" i="5"/>
  <c r="K157" i="5"/>
  <c r="K153" i="5"/>
  <c r="K151" i="5"/>
  <c r="K149" i="5"/>
  <c r="K147" i="5"/>
  <c r="K145" i="5"/>
  <c r="K141" i="5"/>
  <c r="K139" i="5"/>
  <c r="K137" i="5"/>
  <c r="K135" i="5"/>
  <c r="K133" i="5"/>
  <c r="K129" i="5"/>
  <c r="K127" i="5"/>
  <c r="K125" i="5"/>
  <c r="K123" i="5"/>
  <c r="K121" i="5"/>
  <c r="K117" i="5"/>
  <c r="K115" i="5"/>
  <c r="K113" i="5"/>
  <c r="K111" i="5"/>
  <c r="K109" i="5"/>
  <c r="K105" i="5"/>
  <c r="K103" i="5"/>
  <c r="K101" i="5"/>
  <c r="K99" i="5"/>
  <c r="K97" i="5"/>
  <c r="K93" i="5"/>
  <c r="K91" i="5"/>
  <c r="K89" i="5"/>
  <c r="K87" i="5"/>
  <c r="K85" i="5"/>
  <c r="K81" i="5"/>
  <c r="K79" i="5"/>
  <c r="K77" i="5"/>
  <c r="K75" i="5"/>
  <c r="K73" i="5"/>
  <c r="K69" i="5"/>
  <c r="K67" i="5"/>
  <c r="K65" i="5"/>
  <c r="K62" i="5"/>
  <c r="K58" i="5"/>
  <c r="K56" i="5"/>
  <c r="K54" i="5"/>
  <c r="K52" i="5"/>
  <c r="K50" i="5"/>
  <c r="K46" i="5"/>
  <c r="K44" i="5"/>
  <c r="K42" i="5"/>
  <c r="K40" i="5"/>
  <c r="K38" i="5"/>
  <c r="K34" i="5"/>
  <c r="K32" i="5"/>
  <c r="K30" i="5"/>
  <c r="K28" i="5"/>
  <c r="K26" i="5"/>
  <c r="K22" i="5"/>
  <c r="K20" i="5"/>
  <c r="K18" i="5"/>
  <c r="K16" i="5"/>
  <c r="K11" i="5"/>
  <c r="K9" i="5"/>
  <c r="K7" i="5"/>
  <c r="K5" i="5"/>
  <c r="K3" i="5"/>
  <c r="L614" i="5"/>
  <c r="L612" i="5"/>
  <c r="L610" i="5"/>
  <c r="L600" i="5"/>
  <c r="L590" i="5"/>
  <c r="L583" i="5"/>
  <c r="L580" i="5"/>
  <c r="L567" i="5"/>
  <c r="L563" i="5"/>
  <c r="L559" i="5"/>
  <c r="L556" i="5"/>
  <c r="L545" i="5"/>
  <c r="L536" i="5"/>
  <c r="L530" i="5"/>
  <c r="L526" i="5"/>
  <c r="L511" i="5"/>
  <c r="L498" i="5"/>
  <c r="L485" i="5"/>
  <c r="L479" i="5"/>
  <c r="L477" i="5"/>
  <c r="L475" i="5"/>
  <c r="L464" i="5"/>
  <c r="L451" i="5"/>
  <c r="L450" i="5"/>
  <c r="L438" i="5"/>
  <c r="L424" i="5"/>
  <c r="L422" i="5"/>
  <c r="L409" i="5"/>
  <c r="L395" i="5"/>
  <c r="L393" i="5"/>
  <c r="L381" i="5"/>
  <c r="L368" i="5"/>
  <c r="L367" i="5"/>
  <c r="L356" i="5"/>
  <c r="L342" i="5"/>
  <c r="L340" i="5"/>
  <c r="L328" i="5"/>
  <c r="L314" i="5"/>
  <c r="L312" i="5"/>
  <c r="L301" i="5"/>
  <c r="L287" i="5"/>
  <c r="L286" i="5"/>
  <c r="L274" i="5"/>
  <c r="L261" i="5"/>
  <c r="L259" i="5"/>
  <c r="L247" i="5"/>
  <c r="L233" i="5"/>
  <c r="L231" i="5"/>
  <c r="L219" i="5"/>
  <c r="L205" i="5"/>
  <c r="L203" i="5"/>
  <c r="L192" i="5"/>
  <c r="L179" i="5"/>
  <c r="L178" i="5"/>
  <c r="L166" i="5"/>
  <c r="L152" i="5"/>
  <c r="L150" i="5"/>
  <c r="L138" i="5"/>
  <c r="L124" i="5"/>
  <c r="L122" i="5"/>
  <c r="L110" i="5"/>
  <c r="L96" i="5"/>
  <c r="L95" i="5"/>
  <c r="L83" i="5"/>
  <c r="L70" i="5"/>
  <c r="L68" i="5"/>
  <c r="L57" i="5"/>
  <c r="L45" i="5"/>
  <c r="L43" i="5"/>
  <c r="L29" i="5"/>
  <c r="L15" i="5"/>
  <c r="L613" i="5"/>
  <c r="L595" i="5"/>
  <c r="L574" i="5"/>
  <c r="L554" i="5"/>
  <c r="L535" i="5"/>
  <c r="L516" i="5"/>
  <c r="L496" i="5"/>
  <c r="L478" i="5"/>
  <c r="L457" i="5"/>
  <c r="L437" i="5"/>
  <c r="L419" i="5"/>
  <c r="L400" i="5"/>
  <c r="L382" i="5"/>
  <c r="L361" i="5"/>
  <c r="L341" i="5"/>
  <c r="L323" i="5"/>
  <c r="L302" i="5"/>
  <c r="L282" i="5"/>
  <c r="L264" i="5"/>
  <c r="L244" i="5"/>
  <c r="L224" i="5"/>
  <c r="L206" i="5"/>
  <c r="L185" i="5"/>
  <c r="L165" i="5"/>
  <c r="L147" i="5"/>
  <c r="L127" i="5"/>
  <c r="L109" i="5"/>
  <c r="L89" i="5"/>
  <c r="L69" i="5"/>
  <c r="L52" i="5"/>
  <c r="L40" i="5"/>
  <c r="L20" i="5"/>
  <c r="L18" i="5"/>
  <c r="F3" i="3"/>
  <c r="F4" i="3"/>
  <c r="G3" i="1"/>
  <c r="G4" i="1"/>
  <c r="H3" i="1" l="1"/>
  <c r="I3" i="1" s="1"/>
  <c r="H4" i="1"/>
  <c r="I4" i="1" s="1"/>
  <c r="E3" i="3"/>
  <c r="E4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<sst xmlns="http://schemas.openxmlformats.org/spreadsheetml/2006/main" count="1657" uniqueCount="419">
  <si>
    <t>Date</t>
  </si>
  <si>
    <t>Month</t>
  </si>
  <si>
    <t>Symbol</t>
  </si>
  <si>
    <t>Volume</t>
  </si>
  <si>
    <t>Jan</t>
  </si>
  <si>
    <t>BTCUSD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</si>
  <si>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</si>
  <si>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</si>
  <si>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</si>
  <si>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</si>
  <si>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</si>
  <si>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</si>
  <si>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</si>
  <si>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</si>
  <si>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</si>
  <si>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</si>
  <si>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</si>
  <si>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January</t>
  </si>
  <si>
    <t>SP500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</si>
  <si>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</si>
  <si>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</si>
  <si>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</si>
  <si>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</si>
  <si>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</si>
  <si>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</si>
  <si>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</si>
  <si>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</si>
  <si>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</si>
  <si>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</si>
  <si>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Month (old)</t>
  </si>
  <si>
    <t>Symbol (old)</t>
  </si>
  <si>
    <t>Month (old2)</t>
  </si>
  <si>
    <t>6. High has 1 missing data point, which are unlikely to affect any calculation based on 615 of data points.</t>
  </si>
  <si>
    <t>7. There is one high data point that is 4 times larger than the second largest data point</t>
  </si>
  <si>
    <t>First open</t>
  </si>
  <si>
    <t>Last close</t>
  </si>
  <si>
    <t>Change</t>
  </si>
  <si>
    <t>Largest high</t>
  </si>
  <si>
    <t>Smallest low</t>
  </si>
  <si>
    <t>First open date</t>
  </si>
  <si>
    <t>Last close date</t>
  </si>
  <si>
    <t>Row Labels</t>
  </si>
  <si>
    <t>(blank)</t>
  </si>
  <si>
    <t>Grand Total</t>
  </si>
  <si>
    <t>Column Labels</t>
  </si>
  <si>
    <t>Notes</t>
  </si>
  <si>
    <t>Average of Close</t>
  </si>
  <si>
    <t>04/Jan</t>
  </si>
  <si>
    <t>05/Jan</t>
  </si>
  <si>
    <t>06/Jan</t>
  </si>
  <si>
    <t>07/Jan</t>
  </si>
  <si>
    <t>08/Jan</t>
  </si>
  <si>
    <t>09/Jan</t>
  </si>
  <si>
    <t>10/Jan</t>
  </si>
  <si>
    <t>11/Jan</t>
  </si>
  <si>
    <t>12/Jan</t>
  </si>
  <si>
    <t>13/Jan</t>
  </si>
  <si>
    <t>14/Jan</t>
  </si>
  <si>
    <t>15/Jan</t>
  </si>
  <si>
    <t>16/Jan</t>
  </si>
  <si>
    <t>17/Jan</t>
  </si>
  <si>
    <t>18/Jan</t>
  </si>
  <si>
    <t>19/Jan</t>
  </si>
  <si>
    <t>20/Jan</t>
  </si>
  <si>
    <t>21/Jan</t>
  </si>
  <si>
    <t>22/Jan</t>
  </si>
  <si>
    <t>23/Jan</t>
  </si>
  <si>
    <t>24/Jan</t>
  </si>
  <si>
    <t>25/Jan</t>
  </si>
  <si>
    <t>26/Jan</t>
  </si>
  <si>
    <t>27/Jan</t>
  </si>
  <si>
    <t>28/Jan</t>
  </si>
  <si>
    <t>29/Jan</t>
  </si>
  <si>
    <t>30/Jan</t>
  </si>
  <si>
    <t>31/Jan</t>
  </si>
  <si>
    <t>01/Feb</t>
  </si>
  <si>
    <t>02/Feb</t>
  </si>
  <si>
    <t>03/Feb</t>
  </si>
  <si>
    <t>04/Feb</t>
  </si>
  <si>
    <t>05/Feb</t>
  </si>
  <si>
    <t>06/Feb</t>
  </si>
  <si>
    <t>07/Feb</t>
  </si>
  <si>
    <t>08/Feb</t>
  </si>
  <si>
    <t>09/Feb</t>
  </si>
  <si>
    <t>10/Feb</t>
  </si>
  <si>
    <t>11/Feb</t>
  </si>
  <si>
    <t>12/Feb</t>
  </si>
  <si>
    <t>13/Feb</t>
  </si>
  <si>
    <t>14/Feb</t>
  </si>
  <si>
    <t>15/Feb</t>
  </si>
  <si>
    <t>16/Feb</t>
  </si>
  <si>
    <t>17/Feb</t>
  </si>
  <si>
    <t>18/Feb</t>
  </si>
  <si>
    <t>19/Feb</t>
  </si>
  <si>
    <t>20/Feb</t>
  </si>
  <si>
    <t>21/Feb</t>
  </si>
  <si>
    <t>22/Feb</t>
  </si>
  <si>
    <t>23/Feb</t>
  </si>
  <si>
    <t>24/Feb</t>
  </si>
  <si>
    <t>25/Feb</t>
  </si>
  <si>
    <t>26/Feb</t>
  </si>
  <si>
    <t>27/Feb</t>
  </si>
  <si>
    <t>28/Feb</t>
  </si>
  <si>
    <t>01/Mar</t>
  </si>
  <si>
    <t>02/Mar</t>
  </si>
  <si>
    <t>03/Mar</t>
  </si>
  <si>
    <t>04/Mar</t>
  </si>
  <si>
    <t>05/Mar</t>
  </si>
  <si>
    <t>06/Mar</t>
  </si>
  <si>
    <t>07/Mar</t>
  </si>
  <si>
    <t>08/Mar</t>
  </si>
  <si>
    <t>09/Mar</t>
  </si>
  <si>
    <t>10/Mar</t>
  </si>
  <si>
    <t>11/Mar</t>
  </si>
  <si>
    <t>12/Mar</t>
  </si>
  <si>
    <t>13/Mar</t>
  </si>
  <si>
    <t>14/Mar</t>
  </si>
  <si>
    <t>15/Mar</t>
  </si>
  <si>
    <t>16/Mar</t>
  </si>
  <si>
    <t>17/Mar</t>
  </si>
  <si>
    <t>18/Mar</t>
  </si>
  <si>
    <t>19/Mar</t>
  </si>
  <si>
    <t>20/Mar</t>
  </si>
  <si>
    <t>21/Mar</t>
  </si>
  <si>
    <t>22/Mar</t>
  </si>
  <si>
    <t>23/Mar</t>
  </si>
  <si>
    <t>24/Mar</t>
  </si>
  <si>
    <t>25/Mar</t>
  </si>
  <si>
    <t>26/Mar</t>
  </si>
  <si>
    <t>27/Mar</t>
  </si>
  <si>
    <t>28/Mar</t>
  </si>
  <si>
    <t>29/Mar</t>
  </si>
  <si>
    <t>30/Mar</t>
  </si>
  <si>
    <t>31/Mar</t>
  </si>
  <si>
    <t>01/Apr</t>
  </si>
  <si>
    <t>02/Apr</t>
  </si>
  <si>
    <t>03/Apr</t>
  </si>
  <si>
    <t>04/Apr</t>
  </si>
  <si>
    <t>05/Apr</t>
  </si>
  <si>
    <t>06/Apr</t>
  </si>
  <si>
    <t>07/Apr</t>
  </si>
  <si>
    <t>08/Apr</t>
  </si>
  <si>
    <t>09/Apr</t>
  </si>
  <si>
    <t>10/Apr</t>
  </si>
  <si>
    <t>11/Apr</t>
  </si>
  <si>
    <t>12/Apr</t>
  </si>
  <si>
    <t>13/Apr</t>
  </si>
  <si>
    <t>14/Apr</t>
  </si>
  <si>
    <t>15/Apr</t>
  </si>
  <si>
    <t>16/Apr</t>
  </si>
  <si>
    <t>17/Apr</t>
  </si>
  <si>
    <t>18/Apr</t>
  </si>
  <si>
    <t>19/Apr</t>
  </si>
  <si>
    <t>20/Apr</t>
  </si>
  <si>
    <t>21/Apr</t>
  </si>
  <si>
    <t>22/Apr</t>
  </si>
  <si>
    <t>23/Apr</t>
  </si>
  <si>
    <t>24/Apr</t>
  </si>
  <si>
    <t>25/Apr</t>
  </si>
  <si>
    <t>26/Apr</t>
  </si>
  <si>
    <t>27/Apr</t>
  </si>
  <si>
    <t>28/Apr</t>
  </si>
  <si>
    <t>29/Apr</t>
  </si>
  <si>
    <t>30/Apr</t>
  </si>
  <si>
    <t>02/May</t>
  </si>
  <si>
    <t>03/May</t>
  </si>
  <si>
    <t>04/May</t>
  </si>
  <si>
    <t>05/May</t>
  </si>
  <si>
    <t>06/May</t>
  </si>
  <si>
    <t>07/May</t>
  </si>
  <si>
    <t>08/May</t>
  </si>
  <si>
    <t>09/May</t>
  </si>
  <si>
    <t>10/May</t>
  </si>
  <si>
    <t>11/May</t>
  </si>
  <si>
    <t>12/May</t>
  </si>
  <si>
    <t>13/May</t>
  </si>
  <si>
    <t>14/May</t>
  </si>
  <si>
    <t>15/May</t>
  </si>
  <si>
    <t>16/May</t>
  </si>
  <si>
    <t>17/May</t>
  </si>
  <si>
    <t>18/May</t>
  </si>
  <si>
    <t>19/May</t>
  </si>
  <si>
    <t>20/May</t>
  </si>
  <si>
    <t>21/May</t>
  </si>
  <si>
    <t>22/May</t>
  </si>
  <si>
    <t>23/May</t>
  </si>
  <si>
    <t>24/May</t>
  </si>
  <si>
    <t>25/May</t>
  </si>
  <si>
    <t>26/May</t>
  </si>
  <si>
    <t>27/May</t>
  </si>
  <si>
    <t>28/May</t>
  </si>
  <si>
    <t>29/May</t>
  </si>
  <si>
    <t>30/May</t>
  </si>
  <si>
    <t>31/May</t>
  </si>
  <si>
    <t>01/Jun</t>
  </si>
  <si>
    <t>02/Jun</t>
  </si>
  <si>
    <t>03/Jun</t>
  </si>
  <si>
    <t>04/Jun</t>
  </si>
  <si>
    <t>05/Jun</t>
  </si>
  <si>
    <t>06/Jun</t>
  </si>
  <si>
    <t>07/Jun</t>
  </si>
  <si>
    <t>08/Jun</t>
  </si>
  <si>
    <t>09/Jun</t>
  </si>
  <si>
    <t>10/Jun</t>
  </si>
  <si>
    <t>11/Jun</t>
  </si>
  <si>
    <t>12/Jun</t>
  </si>
  <si>
    <t>13/Jun</t>
  </si>
  <si>
    <t>14/Jun</t>
  </si>
  <si>
    <t>15/Jun</t>
  </si>
  <si>
    <t>16/Jun</t>
  </si>
  <si>
    <t>17/Jun</t>
  </si>
  <si>
    <t>18/Jun</t>
  </si>
  <si>
    <t>19/Jun</t>
  </si>
  <si>
    <t>20/Jun</t>
  </si>
  <si>
    <t>21/Jun</t>
  </si>
  <si>
    <t>22/Jun</t>
  </si>
  <si>
    <t>23/Jun</t>
  </si>
  <si>
    <t>24/Jun</t>
  </si>
  <si>
    <t>25/Jun</t>
  </si>
  <si>
    <t>26/Jun</t>
  </si>
  <si>
    <t>27/Jun</t>
  </si>
  <si>
    <t>28/Jun</t>
  </si>
  <si>
    <t>29/Jun</t>
  </si>
  <si>
    <t>30/Jun</t>
  </si>
  <si>
    <t>01/Jul</t>
  </si>
  <si>
    <t>02/Jul</t>
  </si>
  <si>
    <t>03/Jul</t>
  </si>
  <si>
    <t>04/Jul</t>
  </si>
  <si>
    <t>05/Jul</t>
  </si>
  <si>
    <t>06/Jul</t>
  </si>
  <si>
    <t>07/Jul</t>
  </si>
  <si>
    <t>08/Jul</t>
  </si>
  <si>
    <t>09/Jul</t>
  </si>
  <si>
    <t>10/Jul</t>
  </si>
  <si>
    <t>11/Jul</t>
  </si>
  <si>
    <t>12/Jul</t>
  </si>
  <si>
    <t>13/Jul</t>
  </si>
  <si>
    <t>14/Jul</t>
  </si>
  <si>
    <t>15/Jul</t>
  </si>
  <si>
    <t>16/Jul</t>
  </si>
  <si>
    <t>17/Jul</t>
  </si>
  <si>
    <t>18/Jul</t>
  </si>
  <si>
    <t>19/Jul</t>
  </si>
  <si>
    <t>20/Jul</t>
  </si>
  <si>
    <t>21/Jul</t>
  </si>
  <si>
    <t>22/Jul</t>
  </si>
  <si>
    <t>23/Jul</t>
  </si>
  <si>
    <t>24/Jul</t>
  </si>
  <si>
    <t>25/Jul</t>
  </si>
  <si>
    <t>26/Jul</t>
  </si>
  <si>
    <t>27/Jul</t>
  </si>
  <si>
    <t>28/Jul</t>
  </si>
  <si>
    <t>29/Jul</t>
  </si>
  <si>
    <t>30/Jul</t>
  </si>
  <si>
    <t>31/Jul</t>
  </si>
  <si>
    <t>01/Aug</t>
  </si>
  <si>
    <t>02/Aug</t>
  </si>
  <si>
    <t>03/Aug</t>
  </si>
  <si>
    <t>04/Aug</t>
  </si>
  <si>
    <t>05/Aug</t>
  </si>
  <si>
    <t>06/Aug</t>
  </si>
  <si>
    <t>07/Aug</t>
  </si>
  <si>
    <t>08/Aug</t>
  </si>
  <si>
    <t>09/Aug</t>
  </si>
  <si>
    <t>10/Aug</t>
  </si>
  <si>
    <t>11/Aug</t>
  </si>
  <si>
    <t>12/Aug</t>
  </si>
  <si>
    <t>13/Aug</t>
  </si>
  <si>
    <t>14/Aug</t>
  </si>
  <si>
    <t>15/Aug</t>
  </si>
  <si>
    <t>16/Aug</t>
  </si>
  <si>
    <t>17/Aug</t>
  </si>
  <si>
    <t>18/Aug</t>
  </si>
  <si>
    <t>19/Aug</t>
  </si>
  <si>
    <t>20/Aug</t>
  </si>
  <si>
    <t>21/Aug</t>
  </si>
  <si>
    <t>22/Aug</t>
  </si>
  <si>
    <t>23/Aug</t>
  </si>
  <si>
    <t>24/Aug</t>
  </si>
  <si>
    <t>25/Aug</t>
  </si>
  <si>
    <t>26/Aug</t>
  </si>
  <si>
    <t>27/Aug</t>
  </si>
  <si>
    <t>28/Aug</t>
  </si>
  <si>
    <t>29/Aug</t>
  </si>
  <si>
    <t>30/Aug</t>
  </si>
  <si>
    <t>31/Aug</t>
  </si>
  <si>
    <t>01/Sep</t>
  </si>
  <si>
    <t>02/Sep</t>
  </si>
  <si>
    <t>03/Sep</t>
  </si>
  <si>
    <t>04/Sep</t>
  </si>
  <si>
    <t>05/Sep</t>
  </si>
  <si>
    <t>06/Sep</t>
  </si>
  <si>
    <t>07/Sep</t>
  </si>
  <si>
    <t>08/Sep</t>
  </si>
  <si>
    <t>09/Sep</t>
  </si>
  <si>
    <t>10/Sep</t>
  </si>
  <si>
    <t>11/Sep</t>
  </si>
  <si>
    <t>12/Sep</t>
  </si>
  <si>
    <t>13/Sep</t>
  </si>
  <si>
    <t>14/Sep</t>
  </si>
  <si>
    <t>15/Sep</t>
  </si>
  <si>
    <t>16/Sep</t>
  </si>
  <si>
    <t>17/Sep</t>
  </si>
  <si>
    <t>18/Sep</t>
  </si>
  <si>
    <t>19/Sep</t>
  </si>
  <si>
    <t>20/Sep</t>
  </si>
  <si>
    <t>21/Sep</t>
  </si>
  <si>
    <t>22/Sep</t>
  </si>
  <si>
    <t>23/Sep</t>
  </si>
  <si>
    <t>24/Sep</t>
  </si>
  <si>
    <t>25/Sep</t>
  </si>
  <si>
    <t>26/Sep</t>
  </si>
  <si>
    <t>27/Sep</t>
  </si>
  <si>
    <t>28/Sep</t>
  </si>
  <si>
    <t>29/Sep</t>
  </si>
  <si>
    <t>30/Sep</t>
  </si>
  <si>
    <t>01/Oct</t>
  </si>
  <si>
    <t>02/Oct</t>
  </si>
  <si>
    <t>03/Oct</t>
  </si>
  <si>
    <t>04/Oct</t>
  </si>
  <si>
    <t>05/Oct</t>
  </si>
  <si>
    <t>06/Oct</t>
  </si>
  <si>
    <t>07/Oct</t>
  </si>
  <si>
    <t>08/Oct</t>
  </si>
  <si>
    <t>09/Oct</t>
  </si>
  <si>
    <t>10/Oct</t>
  </si>
  <si>
    <t>11/Oct</t>
  </si>
  <si>
    <t>12/Oct</t>
  </si>
  <si>
    <t>13/Oct</t>
  </si>
  <si>
    <t>14/Oct</t>
  </si>
  <si>
    <t>15/Oct</t>
  </si>
  <si>
    <t>16/Oct</t>
  </si>
  <si>
    <t>17/Oct</t>
  </si>
  <si>
    <t>18/Oct</t>
  </si>
  <si>
    <t>19/Oct</t>
  </si>
  <si>
    <t>20/Oct</t>
  </si>
  <si>
    <t>21/Oct</t>
  </si>
  <si>
    <t>22/Oct</t>
  </si>
  <si>
    <t>23/Oct</t>
  </si>
  <si>
    <t>24/Oct</t>
  </si>
  <si>
    <t>25/Oct</t>
  </si>
  <si>
    <t>26/Oct</t>
  </si>
  <si>
    <t>27/Oct</t>
  </si>
  <si>
    <t>28/Oct</t>
  </si>
  <si>
    <t>29/Oct</t>
  </si>
  <si>
    <t>30/Oct</t>
  </si>
  <si>
    <t>31/Oct</t>
  </si>
  <si>
    <t>01/Nov</t>
  </si>
  <si>
    <t>02/Nov</t>
  </si>
  <si>
    <t>03/Nov</t>
  </si>
  <si>
    <t>04/Nov</t>
  </si>
  <si>
    <t>05/Nov</t>
  </si>
  <si>
    <t>06/Nov</t>
  </si>
  <si>
    <t>07/Nov</t>
  </si>
  <si>
    <t>08/Nov</t>
  </si>
  <si>
    <t>09/Nov</t>
  </si>
  <si>
    <t>10/Nov</t>
  </si>
  <si>
    <t>11/Nov</t>
  </si>
  <si>
    <t>12/Nov</t>
  </si>
  <si>
    <t>13/Nov</t>
  </si>
  <si>
    <t>14/Nov</t>
  </si>
  <si>
    <t>15/Nov</t>
  </si>
  <si>
    <t>16/Nov</t>
  </si>
  <si>
    <t>17/Nov</t>
  </si>
  <si>
    <t>18/Nov</t>
  </si>
  <si>
    <t>19/Nov</t>
  </si>
  <si>
    <t>20/Nov</t>
  </si>
  <si>
    <t>21/Nov</t>
  </si>
  <si>
    <t>22/Nov</t>
  </si>
  <si>
    <t>23/Nov</t>
  </si>
  <si>
    <t>24/Nov</t>
  </si>
  <si>
    <t>25/Nov</t>
  </si>
  <si>
    <t>26/Nov</t>
  </si>
  <si>
    <t>27/Nov</t>
  </si>
  <si>
    <t>28/Nov</t>
  </si>
  <si>
    <t>29/Nov</t>
  </si>
  <si>
    <t>30/Nov</t>
  </si>
  <si>
    <t>01/Dec</t>
  </si>
  <si>
    <t>02/Dec</t>
  </si>
  <si>
    <t>03/Dec</t>
  </si>
  <si>
    <t>04/Dec</t>
  </si>
  <si>
    <t>05/Dec</t>
  </si>
  <si>
    <t>06/Dec</t>
  </si>
  <si>
    <t>07/Dec</t>
  </si>
  <si>
    <t>08/Dec</t>
  </si>
  <si>
    <t>09/Dec</t>
  </si>
  <si>
    <t>10/Dec</t>
  </si>
  <si>
    <t>11/Dec</t>
  </si>
  <si>
    <t>12/Dec</t>
  </si>
  <si>
    <t>13/Dec</t>
  </si>
  <si>
    <t>14/Dec</t>
  </si>
  <si>
    <t>15/Dec</t>
  </si>
  <si>
    <t>16/Dec</t>
  </si>
  <si>
    <t>17/Dec</t>
  </si>
  <si>
    <t>18/Dec</t>
  </si>
  <si>
    <t>19/Dec</t>
  </si>
  <si>
    <t>20/Dec</t>
  </si>
  <si>
    <t>21/Dec</t>
  </si>
  <si>
    <t>22/Dec</t>
  </si>
  <si>
    <t>23/Dec</t>
  </si>
  <si>
    <t>24/Dec</t>
  </si>
  <si>
    <t>25/Dec</t>
  </si>
  <si>
    <t>26/Dec</t>
  </si>
  <si>
    <t>27/Dec</t>
  </si>
  <si>
    <t>28/Dec</t>
  </si>
  <si>
    <t>29/Dec</t>
  </si>
  <si>
    <t>30/Dec</t>
  </si>
  <si>
    <t>31/Dec</t>
  </si>
  <si>
    <t>Sum of High</t>
  </si>
  <si>
    <t>Open (US$)</t>
  </si>
  <si>
    <t>High Open (US$)</t>
  </si>
  <si>
    <t>Low Open (US$)</t>
  </si>
  <si>
    <t>Close Open (US$)</t>
  </si>
  <si>
    <t>Open Open (US$)</t>
  </si>
  <si>
    <t>First open (US$)</t>
  </si>
  <si>
    <t>Last close (US$)</t>
  </si>
  <si>
    <t>Smallest low (US$)</t>
  </si>
  <si>
    <t>Largest high (US$)</t>
  </si>
  <si>
    <t>Bitcoin might be a more interesting investment as compared to the SP500, if you can tolerate the increased volatility.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</si>
</sst>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4"/>
        <bgColor indexed="64"/>
      </patternFill>
    </fill>
    <fill>
      <patternFill patternType="solid">
        <fgColor theme="4"/>
        <bgColor theme="9"/>
      </patternFill>
    </fill>
    <fill>
      <patternFill patternType="solid">
        <fgColor theme="4" tint="0.79998168889431442"/>
        <bgColor theme="9" tint="0.79998168889431442"/>
      </patternFill>
    </fill>
  </fills>
  <borders count="10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164" fontId="0" fillId="0" borderId="0" xfId="0" applyNumberFormat="1"/>
    <xf numFmtId="3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9" fontId="0" fillId="0" borderId="0" xfId="0" applyNumberFormat="1"/>
    <xf numFmtId="9" fontId="0" fillId="0" borderId="5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2" fillId="4" borderId="0" xfId="0" applyFont="1" applyFill="1" applyAlignment="1">
      <alignment horizontal="left"/>
    </xf>
    <xf numFmtId="0" fontId="2" fillId="4" borderId="0" xfId="0" applyNumberFormat="1" applyFont="1" applyFill="1"/>
    <xf numFmtId="3" fontId="2" fillId="4" borderId="0" xfId="0" applyNumberFormat="1" applyFont="1" applyFill="1"/>
    <xf numFmtId="0" fontId="0" fillId="0" borderId="6" xfId="0" applyNumberFormat="1" applyBorder="1"/>
    <xf numFmtId="3" fontId="0" fillId="0" borderId="4" xfId="0" applyNumberFormat="1" applyBorder="1"/>
    <xf numFmtId="3" fontId="0" fillId="0" borderId="5" xfId="0" applyNumberFormat="1" applyBorder="1"/>
    <xf numFmtId="0" fontId="0" fillId="0" borderId="7" xfId="0" applyBorder="1" applyAlignment="1">
      <alignment horizontal="left"/>
    </xf>
    <xf numFmtId="3" fontId="0" fillId="0" borderId="3" xfId="0" applyNumberFormat="1" applyBorder="1"/>
    <xf numFmtId="3" fontId="1" fillId="5" borderId="0" xfId="0" applyNumberFormat="1" applyFont="1" applyFill="1" applyBorder="1"/>
    <xf numFmtId="164" fontId="2" fillId="4" borderId="0" xfId="0" applyNumberFormat="1" applyFont="1" applyFill="1"/>
    <xf numFmtId="0" fontId="2" fillId="4" borderId="0" xfId="0" applyFont="1" applyFill="1"/>
    <xf numFmtId="9" fontId="2" fillId="4" borderId="0" xfId="0" applyNumberFormat="1" applyFont="1" applyFill="1"/>
    <xf numFmtId="164" fontId="0" fillId="6" borderId="3" xfId="0" applyNumberFormat="1" applyFont="1" applyFill="1" applyBorder="1"/>
    <xf numFmtId="164" fontId="0" fillId="3" borderId="3" xfId="0" applyNumberFormat="1" applyFont="1" applyFill="1" applyBorder="1"/>
    <xf numFmtId="164" fontId="0" fillId="6" borderId="7" xfId="0" applyNumberFormat="1" applyFont="1" applyFill="1" applyBorder="1"/>
    <xf numFmtId="164" fontId="0" fillId="3" borderId="7" xfId="0" applyNumberFormat="1" applyFont="1" applyFill="1" applyBorder="1"/>
    <xf numFmtId="164" fontId="1" fillId="5" borderId="8" xfId="0" applyNumberFormat="1" applyFont="1" applyFill="1" applyBorder="1"/>
    <xf numFmtId="3" fontId="1" fillId="5" borderId="8" xfId="0" applyNumberFormat="1" applyFont="1" applyFill="1" applyBorder="1"/>
    <xf numFmtId="0" fontId="1" fillId="5" borderId="8" xfId="0" applyFont="1" applyFill="1" applyBorder="1"/>
    <xf numFmtId="0" fontId="1" fillId="5" borderId="9" xfId="0" applyFont="1" applyFill="1" applyBorder="1"/>
    <xf numFmtId="3" fontId="0" fillId="6" borderId="4" xfId="0" applyNumberFormat="1" applyFont="1" applyFill="1" applyBorder="1"/>
    <xf numFmtId="0" fontId="0" fillId="6" borderId="4" xfId="0" applyNumberFormat="1" applyFont="1" applyFill="1" applyBorder="1"/>
    <xf numFmtId="3" fontId="0" fillId="3" borderId="4" xfId="0" applyNumberFormat="1" applyFont="1" applyFill="1" applyBorder="1"/>
    <xf numFmtId="0" fontId="0" fillId="3" borderId="4" xfId="0" applyNumberFormat="1" applyFont="1" applyFill="1" applyBorder="1"/>
    <xf numFmtId="164" fontId="0" fillId="0" borderId="3" xfId="0" applyNumberFormat="1" applyBorder="1"/>
    <xf numFmtId="0" fontId="0" fillId="0" borderId="4" xfId="0" applyNumberFormat="1" applyBorder="1"/>
    <xf numFmtId="0" fontId="0" fillId="0" borderId="4" xfId="0" applyBorder="1"/>
    <xf numFmtId="0" fontId="0" fillId="0" borderId="5" xfId="0" applyBorder="1"/>
    <xf numFmtId="0" fontId="0" fillId="0" borderId="3" xfId="0" applyBorder="1"/>
    <xf numFmtId="164" fontId="0" fillId="0" borderId="4" xfId="0" applyNumberFormat="1" applyBorder="1"/>
    <xf numFmtId="3" fontId="0" fillId="0" borderId="4" xfId="0" applyNumberFormat="1" applyFont="1" applyBorder="1"/>
    <xf numFmtId="9" fontId="0" fillId="0" borderId="4" xfId="0" applyNumberFormat="1" applyFont="1" applyBorder="1"/>
    <xf numFmtId="14" fontId="0" fillId="6" borderId="5" xfId="0" applyNumberFormat="1" applyFont="1" applyFill="1" applyBorder="1"/>
    <xf numFmtId="14" fontId="0" fillId="3" borderId="5" xfId="0" applyNumberFormat="1" applyFont="1" applyFill="1" applyBorder="1"/>
    <xf numFmtId="9" fontId="0" fillId="0" borderId="4" xfId="0" applyNumberFormat="1" applyBorder="1"/>
    <xf numFmtId="9" fontId="0" fillId="0" borderId="5" xfId="0" applyNumberFormat="1" applyBorder="1"/>
    <xf numFmtId="0" fontId="3" fillId="4" borderId="0" xfId="0" applyFont="1" applyFill="1" applyAlignment="1">
      <alignment wrapText="1"/>
    </xf>
  </cellXfs>
  <cellStyles count="1">
    <cellStyle name="Normal" xfId="0" builtinId="0"/>
  </cellStyles>
  <dxfs count="85">
    <dxf>
      <numFmt numFmtId="13" formatCode="0%"/>
      <border diagonalUp="0" diagonalDown="0"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/>
        </horizontal>
      </border>
    </dxf>
    <dxf>
      <numFmt numFmtId="13" formatCode="0%"/>
      <border diagonalUp="0" diagonalDown="0">
        <left/>
        <right/>
        <top style="thin">
          <color theme="4"/>
        </top>
        <bottom style="thin">
          <color theme="4"/>
        </bottom>
        <vertical/>
        <horizontal style="thin">
          <color theme="4"/>
        </horizontal>
      </border>
    </dxf>
    <dxf>
      <numFmt numFmtId="3" formatCode="#,##0"/>
      <border diagonalUp="0" diagonalDown="0">
        <left/>
        <right/>
        <top style="thin">
          <color theme="4"/>
        </top>
        <bottom style="thin">
          <color theme="4"/>
        </bottom>
        <vertical/>
        <horizontal style="thin">
          <color theme="4"/>
        </horizontal>
      </border>
    </dxf>
    <dxf>
      <numFmt numFmtId="3" formatCode="#,##0"/>
      <border diagonalUp="0" diagonalDown="0">
        <left/>
        <right/>
        <top style="thin">
          <color theme="4"/>
        </top>
        <bottom style="thin">
          <color theme="4"/>
        </bottom>
        <vertical/>
        <horizontal style="thin">
          <color theme="4"/>
        </horizontal>
      </border>
    </dxf>
    <dxf>
      <border diagonalUp="0" diagonalDown="0">
        <left style="thin">
          <color theme="4"/>
        </left>
        <right/>
        <top style="thin">
          <color theme="4"/>
        </top>
        <bottom style="thin">
          <color theme="4"/>
        </bottom>
        <vertical/>
        <horizontal style="thin">
          <color theme="4"/>
        </horizontal>
      </border>
    </dxf>
    <dxf>
      <numFmt numFmtId="0" formatCode="General"/>
      <border diagonalUp="0" diagonalDown="0"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/>
        </horizontal>
      </border>
    </dxf>
    <dxf>
      <numFmt numFmtId="0" formatCode="General"/>
      <border diagonalUp="0" diagonalDown="0">
        <left/>
        <right/>
        <top style="thin">
          <color theme="4"/>
        </top>
        <bottom style="thin">
          <color theme="4"/>
        </bottom>
        <vertical/>
        <horizontal style="thin">
          <color theme="4"/>
        </horizontal>
      </border>
    </dxf>
    <dxf>
      <numFmt numFmtId="0" formatCode="General"/>
      <border diagonalUp="0" diagonalDown="0">
        <left/>
        <right/>
        <top style="thin">
          <color theme="4"/>
        </top>
        <bottom style="thin">
          <color theme="4"/>
        </bottom>
        <vertical/>
        <horizontal style="thin">
          <color theme="4"/>
        </horizontal>
      </border>
    </dxf>
    <dxf>
      <numFmt numFmtId="3" formatCode="#,##0"/>
      <border diagonalUp="0" diagonalDown="0">
        <left/>
        <right/>
        <top style="thin">
          <color theme="4"/>
        </top>
        <bottom style="thin">
          <color theme="4"/>
        </bottom>
        <vertical/>
        <horizontal style="thin">
          <color theme="4"/>
        </horizontal>
      </border>
    </dxf>
    <dxf>
      <numFmt numFmtId="3" formatCode="#,##0"/>
      <border diagonalUp="0" diagonalDown="0">
        <left/>
        <right/>
        <top style="thin">
          <color theme="4"/>
        </top>
        <bottom style="thin">
          <color theme="4"/>
        </bottom>
        <vertical/>
        <horizontal style="thin">
          <color theme="4"/>
        </horizontal>
      </border>
    </dxf>
    <dxf>
      <numFmt numFmtId="3" formatCode="#,##0"/>
      <border diagonalUp="0" diagonalDown="0">
        <left/>
        <right/>
        <top style="thin">
          <color theme="4"/>
        </top>
        <bottom style="thin">
          <color theme="4"/>
        </bottom>
        <vertical/>
        <horizontal style="thin">
          <color theme="4"/>
        </horizontal>
      </border>
    </dxf>
    <dxf>
      <numFmt numFmtId="3" formatCode="#,##0"/>
      <border diagonalUp="0" diagonalDown="0">
        <left/>
        <right/>
        <top style="thin">
          <color theme="4"/>
        </top>
        <bottom style="thin">
          <color theme="4"/>
        </bottom>
        <vertical/>
        <horizontal style="thin">
          <color theme="4"/>
        </horizontal>
      </border>
    </dxf>
    <dxf>
      <numFmt numFmtId="3" formatCode="#,##0"/>
      <border diagonalUp="0" diagonalDown="0">
        <left/>
        <right/>
        <top style="thin">
          <color theme="4"/>
        </top>
        <bottom style="thin">
          <color theme="4"/>
        </bottom>
        <vertical/>
        <horizontal style="thin">
          <color theme="4"/>
        </horizontal>
      </border>
    </dxf>
    <dxf>
      <numFmt numFmtId="0" formatCode="General"/>
      <border diagonalUp="0" diagonalDown="0">
        <left/>
        <right/>
        <top style="thin">
          <color theme="4"/>
        </top>
        <bottom style="thin">
          <color theme="4"/>
        </bottom>
        <vertical/>
        <horizontal style="thin">
          <color theme="4"/>
        </horizontal>
      </border>
    </dxf>
    <dxf>
      <numFmt numFmtId="0" formatCode="General"/>
      <border diagonalUp="0" diagonalDown="0">
        <left/>
        <right/>
        <top style="thin">
          <color theme="4"/>
        </top>
        <bottom style="thin">
          <color theme="4"/>
        </bottom>
        <vertical/>
        <horizontal style="thin">
          <color theme="4"/>
        </horizontal>
      </border>
    </dxf>
    <dxf>
      <numFmt numFmtId="164" formatCode="yyyy\-mm\-dd;@"/>
      <border diagonalUp="0" diagonalDown="0">
        <left style="thin">
          <color theme="4"/>
        </left>
        <right/>
        <top style="thin">
          <color theme="4"/>
        </top>
        <bottom style="thin">
          <color theme="4"/>
        </bottom>
        <vertical/>
        <horizontal style="thin">
          <color theme="4"/>
        </horizontal>
      </border>
    </dxf>
    <dxf>
      <border diagonalUp="0" diagonalDown="0"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/>
        </horizontal>
      </border>
    </dxf>
    <dxf>
      <border diagonalUp="0" diagonalDown="0">
        <left/>
        <right/>
        <top style="thin">
          <color theme="4"/>
        </top>
        <bottom style="thin">
          <color theme="4"/>
        </bottom>
        <vertical/>
        <horizontal style="thin">
          <color theme="4"/>
        </horizontal>
      </border>
    </dxf>
    <dxf>
      <border diagonalUp="0" diagonalDown="0">
        <left/>
        <right/>
        <top style="thin">
          <color theme="4"/>
        </top>
        <bottom style="thin">
          <color theme="4"/>
        </bottom>
        <vertical/>
        <horizontal style="thin">
          <color theme="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" formatCode="#,##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4"/>
        </top>
        <bottom style="thin">
          <color theme="4"/>
        </bottom>
        <vertical/>
        <horizontal style="thin">
          <color theme="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" formatCode="#,##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4"/>
        </top>
        <bottom style="thin">
          <color theme="4"/>
        </bottom>
        <vertical/>
        <horizontal style="thin">
          <color theme="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" formatCode="#,##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4"/>
        </top>
        <bottom style="thin">
          <color theme="4"/>
        </bottom>
        <vertical/>
        <horizontal style="thin">
          <color theme="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" formatCode="#,##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4"/>
        </top>
        <bottom style="thin">
          <color theme="4"/>
        </bottom>
        <vertical/>
        <horizontal style="thin">
          <color theme="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" formatCode="#,##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4"/>
        </top>
        <bottom style="thin">
          <color theme="4"/>
        </bottom>
        <vertical/>
        <horizontal style="thin">
          <color theme="4"/>
        </horizontal>
      </border>
    </dxf>
    <dxf>
      <numFmt numFmtId="164" formatCode="yyyy\-mm\-dd;@"/>
      <border diagonalUp="0" diagonalDown="0">
        <left style="thin">
          <color theme="4"/>
        </left>
        <right/>
        <top style="thin">
          <color theme="4"/>
        </top>
        <bottom style="thin">
          <color theme="4"/>
        </bottom>
        <vertical/>
        <horizontal style="thin">
          <color theme="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3" formatCode="0%"/>
      <border diagonalUp="0" diagonalDown="0"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3" formatCode="0%"/>
      <border diagonalUp="0" diagonalDown="0">
        <left/>
        <right/>
        <top style="thin">
          <color theme="4"/>
        </top>
        <bottom style="thin">
          <color theme="4"/>
        </bottom>
        <vertical/>
        <horizontal style="thin">
          <color theme="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3" formatCode="0%"/>
      <border diagonalUp="0" diagonalDown="0">
        <left/>
        <right/>
        <top style="thin">
          <color theme="4"/>
        </top>
        <bottom style="thin">
          <color theme="4"/>
        </bottom>
        <vertical/>
        <horizontal style="thin">
          <color theme="4"/>
        </horizontal>
      </border>
    </dxf>
    <dxf>
      <numFmt numFmtId="3" formatCode="#,##0"/>
      <border diagonalUp="0" diagonalDown="0">
        <left/>
        <right/>
        <top style="thin">
          <color theme="4"/>
        </top>
        <bottom style="thin">
          <color theme="4"/>
        </bottom>
        <vertical/>
        <horizontal style="thin">
          <color theme="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3" formatCode="#,##0"/>
      <border diagonalUp="0" diagonalDown="0">
        <left/>
        <right/>
        <top style="thin">
          <color theme="4"/>
        </top>
        <bottom style="thin">
          <color theme="4"/>
        </bottom>
        <vertical/>
        <horizontal style="thin">
          <color theme="4"/>
        </horizontal>
      </border>
    </dxf>
    <dxf>
      <numFmt numFmtId="164" formatCode="yyyy\-mm\-dd;@"/>
      <border diagonalUp="0" diagonalDown="0">
        <left/>
        <right/>
        <top style="thin">
          <color theme="4"/>
        </top>
        <bottom style="thin">
          <color theme="4"/>
        </bottom>
        <vertical/>
        <horizontal style="thin">
          <color theme="4"/>
        </horizontal>
      </border>
    </dxf>
    <dxf>
      <numFmt numFmtId="164" formatCode="yyyy\-mm\-dd;@"/>
      <border diagonalUp="0" diagonalDown="0">
        <left/>
        <right/>
        <top style="thin">
          <color theme="4"/>
        </top>
        <bottom style="thin">
          <color theme="4"/>
        </bottom>
        <vertical/>
        <horizontal style="thin">
          <color theme="4"/>
        </horizontal>
      </border>
    </dxf>
    <dxf>
      <numFmt numFmtId="0" formatCode="General"/>
      <border diagonalUp="0" diagonalDown="0">
        <left style="thin">
          <color theme="4"/>
        </left>
        <right/>
        <top style="thin">
          <color theme="4"/>
        </top>
        <bottom style="thin">
          <color theme="4"/>
        </bottom>
        <vertical/>
        <horizontal style="thin">
          <color theme="4"/>
        </horizontal>
      </border>
    </dxf>
    <dxf>
      <border>
        <left style="thin">
          <color theme="4"/>
        </left>
        <bottom style="thin">
          <color theme="4"/>
        </bottom>
        <horizontal style="thin">
          <color theme="4"/>
        </horizontal>
      </border>
    </dxf>
    <dxf>
      <border>
        <left style="thin">
          <color theme="4"/>
        </left>
        <bottom style="thin">
          <color theme="4"/>
        </bottom>
        <horizontal style="thin">
          <color theme="4"/>
        </horizontal>
      </border>
    </dxf>
    <dxf>
      <border>
        <left style="thin">
          <color theme="4"/>
        </left>
        <bottom style="thin">
          <color theme="4"/>
        </bottom>
        <horizontal style="thin">
          <color theme="4"/>
        </horizontal>
      </border>
    </dxf>
    <dxf>
      <border>
        <left style="thin">
          <color theme="4"/>
        </left>
        <bottom style="thin">
          <color theme="4"/>
        </bottom>
        <horizontal style="thin">
          <color theme="4"/>
        </horizontal>
      </border>
    </dxf>
    <dxf>
      <border>
        <left style="thin">
          <color theme="4"/>
        </left>
        <bottom style="thin">
          <color theme="4"/>
        </bottom>
        <horizontal style="thin">
          <color theme="4"/>
        </horizontal>
      </border>
    </dxf>
    <dxf>
      <border>
        <left style="thin">
          <color theme="4"/>
        </left>
        <bottom style="thin">
          <color theme="4"/>
        </bottom>
        <horizontal style="thin">
          <color theme="4"/>
        </horizontal>
      </border>
    </dxf>
    <dxf>
      <border>
        <left style="thin">
          <color theme="4"/>
        </left>
        <bottom style="thin">
          <color theme="4"/>
        </bottom>
        <horizontal style="thin">
          <color theme="4"/>
        </horizontal>
      </border>
    </dxf>
    <dxf>
      <border>
        <left style="thin">
          <color theme="4"/>
        </left>
        <bottom style="thin">
          <color theme="4"/>
        </bottom>
        <horizontal style="thin">
          <color theme="4"/>
        </horizontal>
      </border>
    </dxf>
    <dxf>
      <border>
        <right style="thin">
          <color theme="4"/>
        </right>
      </border>
    </dxf>
    <dxf>
      <border>
        <left style="thin">
          <color theme="4"/>
        </left>
        <top style="thin">
          <color theme="4"/>
        </top>
        <bottom style="thin">
          <color theme="4"/>
        </bottom>
        <horizontal style="thin">
          <color theme="4"/>
        </horizontal>
      </border>
    </dxf>
    <dxf>
      <numFmt numFmtId="164" formatCode="yyyy\-mm\-dd;@"/>
      <fill>
        <patternFill patternType="solid">
          <fgColor theme="9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</dxf>
    <dxf>
      <numFmt numFmtId="164" formatCode="yyyy\-mm\-dd;@"/>
      <fill>
        <patternFill patternType="solid">
          <fgColor theme="9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</dxf>
    <dxf>
      <numFmt numFmtId="164" formatCode="yyyy\-mm\-dd;@"/>
      <fill>
        <patternFill patternType="solid">
          <fgColor theme="9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</dxf>
    <dxf>
      <numFmt numFmtId="164" formatCode="yyyy\-mm\-dd;@"/>
      <fill>
        <patternFill patternType="solid">
          <fgColor theme="9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</dxf>
    <dxf>
      <numFmt numFmtId="164" formatCode="yyyy\-mm\-dd;@"/>
      <fill>
        <patternFill patternType="solid">
          <fgColor theme="9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</dxf>
    <dxf>
      <numFmt numFmtId="164" formatCode="yyyy\-mm\-dd;@"/>
      <fill>
        <patternFill patternType="solid">
          <fgColor theme="9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</dxf>
    <dxf>
      <numFmt numFmtId="164" formatCode="yyyy\-mm\-dd;@"/>
      <fill>
        <patternFill patternType="solid">
          <fgColor theme="9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</dxf>
    <dxf>
      <numFmt numFmtId="164" formatCode="yyyy\-mm\-dd;@"/>
      <fill>
        <patternFill patternType="solid">
          <fgColor theme="9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4"/>
        </patternFill>
      </fill>
    </dxf>
    <dxf>
      <font>
        <strike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4"/>
        </patternFill>
      </fill>
    </dxf>
    <dxf>
      <font>
        <strike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theme="9"/>
          <bgColor theme="4"/>
        </patternFill>
      </fill>
    </dxf>
    <dxf>
      <numFmt numFmtId="3" formatCode="#,##0"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/>
        </horizontal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/>
        </horizontal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/>
        </horizontal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/>
        </horizontal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/>
        </horizontal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/>
        </horizontal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/>
        </horizontal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/>
        </horizontal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/>
        </horizontal>
      </border>
    </dxf>
    <dxf>
      <border>
        <top style="thin">
          <color auto="1"/>
        </top>
        <bottom style="thin">
          <color auto="1"/>
        </bottom>
        <horizontal style="thin">
          <color auto="1"/>
        </horizontal>
      </border>
    </dxf>
    <dxf>
      <border>
        <top style="thin">
          <color auto="1"/>
        </top>
        <bottom style="thin">
          <color auto="1"/>
        </bottom>
        <horizontal style="thin">
          <color auto="1"/>
        </horizontal>
      </border>
    </dxf>
    <dxf>
      <border>
        <top style="thin">
          <color auto="1"/>
        </top>
        <bottom style="thin">
          <color auto="1"/>
        </bottom>
        <horizontal style="thin">
          <color auto="1"/>
        </horizontal>
      </border>
    </dxf>
    <dxf>
      <border>
        <top style="thin">
          <color auto="1"/>
        </top>
        <bottom style="thin">
          <color auto="1"/>
        </bottom>
        <horizontal style="thin">
          <color auto="1"/>
        </horizontal>
      </border>
    </dxf>
    <dxf>
      <border>
        <top style="thin">
          <color auto="1"/>
        </top>
        <bottom style="thin">
          <color auto="1"/>
        </bottom>
        <horizontal style="thin">
          <color auto="1"/>
        </horizontal>
      </border>
    </dxf>
    <dxf>
      <border>
        <top style="thin">
          <color auto="1"/>
        </top>
        <bottom style="thin">
          <color auto="1"/>
        </bottom>
        <horizontal style="thin">
          <color auto="1"/>
        </horizontal>
      </border>
    </dxf>
    <dxf>
      <border>
        <top style="thin">
          <color auto="1"/>
        </top>
        <bottom style="thin">
          <color auto="1"/>
        </bottom>
        <horizontal style="thin">
          <color auto="1"/>
        </horizontal>
      </border>
    </dxf>
    <dxf>
      <border>
        <top style="thin">
          <color auto="1"/>
        </top>
        <bottom style="thin">
          <color auto="1"/>
        </bottom>
        <horizontal style="thin">
          <color auto="1"/>
        </horizontal>
      </border>
    </dxf>
    <dxf>
      <border>
        <top style="thin">
          <color auto="1"/>
        </top>
        <bottom style="thin">
          <color auto="1"/>
        </bottom>
        <horizontal style="thin">
          <color auto="1"/>
        </horizontal>
      </border>
    </dxf>
    <dxf>
      <font>
        <color theme="0"/>
      </font>
    </dxf>
    <dxf>
      <font>
        <color theme="0"/>
      </font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/>
        </horizontal>
      </border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/>
        </horizontal>
      </border>
    </dxf>
    <dxf>
      <numFmt numFmtId="3" formatCode="#,##0"/>
    </dxf>
    <dxf>
      <font>
        <color theme="0"/>
      </font>
    </dxf>
    <dxf>
      <font>
        <color theme="0"/>
      </font>
    </dxf>
    <dxf>
      <fill>
        <patternFill patternType="solid">
          <bgColor theme="4"/>
        </patternFill>
      </fill>
    </dxf>
    <dxf>
      <fill>
        <patternFill patternType="solid">
          <bgColor theme="4"/>
        </patternFill>
      </fill>
    </dxf>
    <dxf>
      <border outline="0">
        <left style="thin">
          <color theme="9" tint="0.39997558519241921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Bitcoin outpeforms SP500</a:t>
            </a:r>
          </a:p>
          <a:p>
            <a:pPr>
              <a:defRPr/>
            </a:pPr>
            <a:r>
              <a:rPr lang="nl-NL" sz="1100"/>
              <a:t>2021 price change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barChart>
        <c:barDir val="bar"/>
        <c:grouping val="clustered"/>
        <c:varyColors val="0"/>
        <c:ser>
          <c:idx val="3"/>
          <c:order val="0"/>
          <c:tx>
            <c:strRef>
              <c:f>Upside!$H$2</c:f>
              <c:strCache>
                <c:ptCount val="1"/>
                <c:pt idx="0">
                  <c:v>Last close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  <a:effectLst/>
          </c:spPr>
          <c:invertIfNegative val="0"/>
          <c:cat>
            <c:strRef>
              <c:f>Upside!$B$3:$B$4</c:f>
              <c:strCache>
                <c:ptCount val="2"/>
                <c:pt idx="0">
                  <c:v>BTCUSD</c:v>
                </c:pt>
                <c:pt idx="1">
                  <c:v>SP500</c:v>
                </c:pt>
              </c:strCache>
            </c:strRef>
          </c:cat>
          <c:val>
            <c:numRef>
              <c:f>Upside!$H$3:$H$4</c:f>
              <c:numCache>
                <c:formatCode>0%</c:formatCode>
                <c:ptCount val="2"/>
                <c:pt idx="0">
                  <c:v>1.3923435255062127</c:v>
                </c:pt>
                <c:pt idx="1">
                  <c:v>1.2660488071805578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206-4725-8831-F8300A4EA319}"/>
            </c:ext>
          </c:extLst>
        </c:ser>
        <c:ser>
          <c:idx val="2"/>
          <c:order val="1"/>
          <c:tx>
            <c:strRef>
              <c:f>Upside!$G$2</c:f>
              <c:strCache>
                <c:ptCount val="1"/>
                <c:pt idx="0">
                  <c:v>First open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/>
              </a:solidFill>
            </a:ln>
            <a:effectLst/>
          </c:spPr>
          <c:invertIfNegative val="0"/>
          <c:cat>
            <c:strRef>
              <c:f>Upside!$B$3:$B$4</c:f>
              <c:strCache>
                <c:ptCount val="2"/>
                <c:pt idx="0">
                  <c:v>BTCUSD</c:v>
                </c:pt>
                <c:pt idx="1">
                  <c:v>SP500</c:v>
                </c:pt>
              </c:strCache>
            </c:strRef>
          </c:cat>
          <c:val>
            <c:numRef>
              <c:f>Upside!$G$3:$G$4</c:f>
              <c:numCache>
                <c:formatCode>0%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06-4725-8831-F8300A4EA3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05847343"/>
        <c:axId val="2005849423"/>
      </c:barChart>
      <c:catAx>
        <c:axId val="20058473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005849423"/>
        <c:crosses val="autoZero"/>
        <c:auto val="1"/>
        <c:lblAlgn val="ctr"/>
        <c:lblOffset val="100"/>
        <c:noMultiLvlLbl val="0"/>
      </c:catAx>
      <c:valAx>
        <c:axId val="2005849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005847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Bitcoin is more volatile than SP500</a:t>
            </a:r>
          </a:p>
          <a:p>
            <a:pPr>
              <a:defRPr/>
            </a:pPr>
            <a:r>
              <a:rPr lang="nl-NL" sz="1100"/>
              <a:t>2021</a:t>
            </a:r>
            <a:r>
              <a:rPr lang="nl-NL" sz="1100" baseline="0"/>
              <a:t> largest high vs. smallest low</a:t>
            </a:r>
            <a:endParaRPr lang="nl-NL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barChart>
        <c:barDir val="bar"/>
        <c:grouping val="clustered"/>
        <c:varyColors val="0"/>
        <c:ser>
          <c:idx val="2"/>
          <c:order val="2"/>
          <c:tx>
            <c:strRef>
              <c:f>Spread!$E$2</c:f>
              <c:strCache>
                <c:ptCount val="1"/>
                <c:pt idx="0">
                  <c:v>Smallest low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/>
              </a:solidFill>
            </a:ln>
            <a:effectLst/>
          </c:spPr>
          <c:invertIfNegative val="0"/>
          <c:cat>
            <c:strRef>
              <c:f>Spread!$B$3:$B$4</c:f>
              <c:strCache>
                <c:ptCount val="2"/>
                <c:pt idx="0">
                  <c:v>BTCUSD</c:v>
                </c:pt>
                <c:pt idx="1">
                  <c:v>SP500</c:v>
                </c:pt>
              </c:strCache>
            </c:strRef>
          </c:cat>
          <c:val>
            <c:numRef>
              <c:f>Spread!$E$3:$E$4</c:f>
              <c:numCache>
                <c:formatCode>0%</c:formatCode>
                <c:ptCount val="2"/>
                <c:pt idx="0">
                  <c:v>0.40046869565217391</c:v>
                </c:pt>
                <c:pt idx="1">
                  <c:v>0.76164760144148491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FF-4D32-9140-7DACC57CE689}"/>
            </c:ext>
          </c:extLst>
        </c:ser>
        <c:ser>
          <c:idx val="3"/>
          <c:order val="3"/>
          <c:tx>
            <c:strRef>
              <c:f>Spread!$F$2</c:f>
              <c:strCache>
                <c:ptCount val="1"/>
                <c:pt idx="0">
                  <c:v>Largest high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accent2"/>
              </a:solidFill>
            </a:ln>
            <a:effectLst/>
          </c:spPr>
          <c:invertIfNegative val="0"/>
          <c:cat>
            <c:strRef>
              <c:f>Spread!$B$3:$B$4</c:f>
              <c:strCache>
                <c:ptCount val="2"/>
                <c:pt idx="0">
                  <c:v>BTCUSD</c:v>
                </c:pt>
                <c:pt idx="1">
                  <c:v>SP500</c:v>
                </c:pt>
              </c:strCache>
            </c:strRef>
          </c:cat>
          <c:val>
            <c:numRef>
              <c:f>Spread!$F$3:$F$4</c:f>
              <c:numCache>
                <c:formatCode>0%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7FF-4D32-9140-7DACC57CE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20090335"/>
        <c:axId val="200128499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Spread!$C$2</c15:sqref>
                        </c15:formulaRef>
                      </c:ext>
                    </c:extLst>
                    <c:strCache>
                      <c:ptCount val="1"/>
                      <c:pt idx="0">
                        <c:v>Smallest low (US$)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Spread!$B$3:$B$4</c15:sqref>
                        </c15:formulaRef>
                      </c:ext>
                    </c:extLst>
                    <c:strCache>
                      <c:ptCount val="2"/>
                      <c:pt idx="0">
                        <c:v>BTCUSD</c:v>
                      </c:pt>
                      <c:pt idx="1">
                        <c:v>SP500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Spread!$C$3:$C$4</c15:sqref>
                        </c15:formulaRef>
                      </c:ext>
                    </c:extLst>
                    <c:numCache>
                      <c:formatCode>#,##0</c:formatCode>
                      <c:ptCount val="2"/>
                      <c:pt idx="0">
                        <c:v>2763234</c:v>
                      </c:pt>
                      <c:pt idx="1">
                        <c:v>366271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07FF-4D32-9140-7DACC57CE689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Spread!$D$2</c15:sqref>
                        </c15:formulaRef>
                      </c:ext>
                    </c:extLst>
                    <c:strCache>
                      <c:ptCount val="1"/>
                      <c:pt idx="0">
                        <c:v>Largest high (US$)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Spread!$B$3:$B$4</c15:sqref>
                        </c15:formulaRef>
                      </c:ext>
                    </c:extLst>
                    <c:strCache>
                      <c:ptCount val="2"/>
                      <c:pt idx="0">
                        <c:v>BTCUSD</c:v>
                      </c:pt>
                      <c:pt idx="1">
                        <c:v>SP500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Spread!$D$3:$D$4</c15:sqref>
                        </c15:formulaRef>
                      </c:ext>
                    </c:extLst>
                    <c:numCache>
                      <c:formatCode>#,##0</c:formatCode>
                      <c:ptCount val="2"/>
                      <c:pt idx="0">
                        <c:v>6900000</c:v>
                      </c:pt>
                      <c:pt idx="1">
                        <c:v>480893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07FF-4D32-9140-7DACC57CE689}"/>
                  </c:ext>
                </c:extLst>
              </c15:ser>
            </c15:filteredBarSeries>
          </c:ext>
        </c:extLst>
      </c:barChart>
      <c:catAx>
        <c:axId val="5200903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001284991"/>
        <c:crosses val="autoZero"/>
        <c:auto val="1"/>
        <c:lblAlgn val="ctr"/>
        <c:lblOffset val="100"/>
        <c:noMultiLvlLbl val="0"/>
      </c:catAx>
      <c:valAx>
        <c:axId val="2001284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520090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[bitcoin-analysis-mysolution (version 1).xlsb.xlsx]Exploratory Data Analysis!PivotTable5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2021 Bitcion vs. SP500 p</a:t>
            </a:r>
            <a:r>
              <a:rPr lang="nl-NL" baseline="0"/>
              <a:t>rice evolution</a:t>
            </a:r>
            <a:endParaRPr lang="nl-N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'Exploratory Data Analysis'!$C$19:$C$20</c:f>
              <c:strCache>
                <c:ptCount val="1"/>
                <c:pt idx="0">
                  <c:v>BTCUSD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'Exploratory Data Analysis'!$B$21:$B$382</c:f>
              <c:strCache>
                <c:ptCount val="361"/>
                <c:pt idx="0">
                  <c:v>04/Jan</c:v>
                </c:pt>
                <c:pt idx="1">
                  <c:v>05/Jan</c:v>
                </c:pt>
                <c:pt idx="2">
                  <c:v>06/Jan</c:v>
                </c:pt>
                <c:pt idx="3">
                  <c:v>07/Jan</c:v>
                </c:pt>
                <c:pt idx="4">
                  <c:v>08/Jan</c:v>
                </c:pt>
                <c:pt idx="5">
                  <c:v>09/Jan</c:v>
                </c:pt>
                <c:pt idx="6">
                  <c:v>10/Jan</c:v>
                </c:pt>
                <c:pt idx="7">
                  <c:v>11/Jan</c:v>
                </c:pt>
                <c:pt idx="8">
                  <c:v>12/Jan</c:v>
                </c:pt>
                <c:pt idx="9">
                  <c:v>13/Jan</c:v>
                </c:pt>
                <c:pt idx="10">
                  <c:v>14/Jan</c:v>
                </c:pt>
                <c:pt idx="11">
                  <c:v>15/Jan</c:v>
                </c:pt>
                <c:pt idx="12">
                  <c:v>16/Jan</c:v>
                </c:pt>
                <c:pt idx="13">
                  <c:v>17/Jan</c:v>
                </c:pt>
                <c:pt idx="14">
                  <c:v>18/Jan</c:v>
                </c:pt>
                <c:pt idx="15">
                  <c:v>19/Jan</c:v>
                </c:pt>
                <c:pt idx="16">
                  <c:v>20/Jan</c:v>
                </c:pt>
                <c:pt idx="17">
                  <c:v>21/Jan</c:v>
                </c:pt>
                <c:pt idx="18">
                  <c:v>22/Jan</c:v>
                </c:pt>
                <c:pt idx="19">
                  <c:v>23/Jan</c:v>
                </c:pt>
                <c:pt idx="20">
                  <c:v>24/Jan</c:v>
                </c:pt>
                <c:pt idx="21">
                  <c:v>25/Jan</c:v>
                </c:pt>
                <c:pt idx="22">
                  <c:v>26/Jan</c:v>
                </c:pt>
                <c:pt idx="23">
                  <c:v>27/Jan</c:v>
                </c:pt>
                <c:pt idx="24">
                  <c:v>28/Jan</c:v>
                </c:pt>
                <c:pt idx="25">
                  <c:v>29/Jan</c:v>
                </c:pt>
                <c:pt idx="26">
                  <c:v>30/Jan</c:v>
                </c:pt>
                <c:pt idx="27">
                  <c:v>31/Jan</c:v>
                </c:pt>
                <c:pt idx="28">
                  <c:v>01/Feb</c:v>
                </c:pt>
                <c:pt idx="29">
                  <c:v>02/Feb</c:v>
                </c:pt>
                <c:pt idx="30">
                  <c:v>03/Feb</c:v>
                </c:pt>
                <c:pt idx="31">
                  <c:v>04/Feb</c:v>
                </c:pt>
                <c:pt idx="32">
                  <c:v>05/Feb</c:v>
                </c:pt>
                <c:pt idx="33">
                  <c:v>06/Feb</c:v>
                </c:pt>
                <c:pt idx="34">
                  <c:v>07/Feb</c:v>
                </c:pt>
                <c:pt idx="35">
                  <c:v>08/Feb</c:v>
                </c:pt>
                <c:pt idx="36">
                  <c:v>09/Feb</c:v>
                </c:pt>
                <c:pt idx="37">
                  <c:v>10/Feb</c:v>
                </c:pt>
                <c:pt idx="38">
                  <c:v>11/Feb</c:v>
                </c:pt>
                <c:pt idx="39">
                  <c:v>12/Feb</c:v>
                </c:pt>
                <c:pt idx="40">
                  <c:v>13/Feb</c:v>
                </c:pt>
                <c:pt idx="41">
                  <c:v>14/Feb</c:v>
                </c:pt>
                <c:pt idx="42">
                  <c:v>15/Feb</c:v>
                </c:pt>
                <c:pt idx="43">
                  <c:v>16/Feb</c:v>
                </c:pt>
                <c:pt idx="44">
                  <c:v>17/Feb</c:v>
                </c:pt>
                <c:pt idx="45">
                  <c:v>18/Feb</c:v>
                </c:pt>
                <c:pt idx="46">
                  <c:v>19/Feb</c:v>
                </c:pt>
                <c:pt idx="47">
                  <c:v>20/Feb</c:v>
                </c:pt>
                <c:pt idx="48">
                  <c:v>21/Feb</c:v>
                </c:pt>
                <c:pt idx="49">
                  <c:v>22/Feb</c:v>
                </c:pt>
                <c:pt idx="50">
                  <c:v>23/Feb</c:v>
                </c:pt>
                <c:pt idx="51">
                  <c:v>24/Feb</c:v>
                </c:pt>
                <c:pt idx="52">
                  <c:v>25/Feb</c:v>
                </c:pt>
                <c:pt idx="53">
                  <c:v>26/Feb</c:v>
                </c:pt>
                <c:pt idx="54">
                  <c:v>27/Feb</c:v>
                </c:pt>
                <c:pt idx="55">
                  <c:v>28/Feb</c:v>
                </c:pt>
                <c:pt idx="56">
                  <c:v>01/Mar</c:v>
                </c:pt>
                <c:pt idx="57">
                  <c:v>02/Mar</c:v>
                </c:pt>
                <c:pt idx="58">
                  <c:v>03/Mar</c:v>
                </c:pt>
                <c:pt idx="59">
                  <c:v>04/Mar</c:v>
                </c:pt>
                <c:pt idx="60">
                  <c:v>05/Mar</c:v>
                </c:pt>
                <c:pt idx="61">
                  <c:v>06/Mar</c:v>
                </c:pt>
                <c:pt idx="62">
                  <c:v>07/Mar</c:v>
                </c:pt>
                <c:pt idx="63">
                  <c:v>08/Mar</c:v>
                </c:pt>
                <c:pt idx="64">
                  <c:v>09/Mar</c:v>
                </c:pt>
                <c:pt idx="65">
                  <c:v>10/Mar</c:v>
                </c:pt>
                <c:pt idx="66">
                  <c:v>11/Mar</c:v>
                </c:pt>
                <c:pt idx="67">
                  <c:v>12/Mar</c:v>
                </c:pt>
                <c:pt idx="68">
                  <c:v>13/Mar</c:v>
                </c:pt>
                <c:pt idx="69">
                  <c:v>14/Mar</c:v>
                </c:pt>
                <c:pt idx="70">
                  <c:v>15/Mar</c:v>
                </c:pt>
                <c:pt idx="71">
                  <c:v>16/Mar</c:v>
                </c:pt>
                <c:pt idx="72">
                  <c:v>17/Mar</c:v>
                </c:pt>
                <c:pt idx="73">
                  <c:v>18/Mar</c:v>
                </c:pt>
                <c:pt idx="74">
                  <c:v>19/Mar</c:v>
                </c:pt>
                <c:pt idx="75">
                  <c:v>20/Mar</c:v>
                </c:pt>
                <c:pt idx="76">
                  <c:v>21/Mar</c:v>
                </c:pt>
                <c:pt idx="77">
                  <c:v>22/Mar</c:v>
                </c:pt>
                <c:pt idx="78">
                  <c:v>23/Mar</c:v>
                </c:pt>
                <c:pt idx="79">
                  <c:v>24/Mar</c:v>
                </c:pt>
                <c:pt idx="80">
                  <c:v>25/Mar</c:v>
                </c:pt>
                <c:pt idx="81">
                  <c:v>26/Mar</c:v>
                </c:pt>
                <c:pt idx="82">
                  <c:v>27/Mar</c:v>
                </c:pt>
                <c:pt idx="83">
                  <c:v>28/Mar</c:v>
                </c:pt>
                <c:pt idx="84">
                  <c:v>29/Mar</c:v>
                </c:pt>
                <c:pt idx="85">
                  <c:v>30/Mar</c:v>
                </c:pt>
                <c:pt idx="86">
                  <c:v>31/Mar</c:v>
                </c:pt>
                <c:pt idx="87">
                  <c:v>01/Apr</c:v>
                </c:pt>
                <c:pt idx="88">
                  <c:v>02/Apr</c:v>
                </c:pt>
                <c:pt idx="89">
                  <c:v>03/Apr</c:v>
                </c:pt>
                <c:pt idx="90">
                  <c:v>04/Apr</c:v>
                </c:pt>
                <c:pt idx="91">
                  <c:v>05/Apr</c:v>
                </c:pt>
                <c:pt idx="92">
                  <c:v>06/Apr</c:v>
                </c:pt>
                <c:pt idx="93">
                  <c:v>07/Apr</c:v>
                </c:pt>
                <c:pt idx="94">
                  <c:v>08/Apr</c:v>
                </c:pt>
                <c:pt idx="95">
                  <c:v>09/Apr</c:v>
                </c:pt>
                <c:pt idx="96">
                  <c:v>10/Apr</c:v>
                </c:pt>
                <c:pt idx="97">
                  <c:v>11/Apr</c:v>
                </c:pt>
                <c:pt idx="98">
                  <c:v>12/Apr</c:v>
                </c:pt>
                <c:pt idx="99">
                  <c:v>13/Apr</c:v>
                </c:pt>
                <c:pt idx="100">
                  <c:v>14/Apr</c:v>
                </c:pt>
                <c:pt idx="101">
                  <c:v>15/Apr</c:v>
                </c:pt>
                <c:pt idx="102">
                  <c:v>16/Apr</c:v>
                </c:pt>
                <c:pt idx="103">
                  <c:v>17/Apr</c:v>
                </c:pt>
                <c:pt idx="104">
                  <c:v>18/Apr</c:v>
                </c:pt>
                <c:pt idx="105">
                  <c:v>19/Apr</c:v>
                </c:pt>
                <c:pt idx="106">
                  <c:v>20/Apr</c:v>
                </c:pt>
                <c:pt idx="107">
                  <c:v>21/Apr</c:v>
                </c:pt>
                <c:pt idx="108">
                  <c:v>22/Apr</c:v>
                </c:pt>
                <c:pt idx="109">
                  <c:v>23/Apr</c:v>
                </c:pt>
                <c:pt idx="110">
                  <c:v>24/Apr</c:v>
                </c:pt>
                <c:pt idx="111">
                  <c:v>25/Apr</c:v>
                </c:pt>
                <c:pt idx="112">
                  <c:v>26/Apr</c:v>
                </c:pt>
                <c:pt idx="113">
                  <c:v>27/Apr</c:v>
                </c:pt>
                <c:pt idx="114">
                  <c:v>28/Apr</c:v>
                </c:pt>
                <c:pt idx="115">
                  <c:v>29/Apr</c:v>
                </c:pt>
                <c:pt idx="116">
                  <c:v>30/Apr</c:v>
                </c:pt>
                <c:pt idx="117">
                  <c:v>02/May</c:v>
                </c:pt>
                <c:pt idx="118">
                  <c:v>03/May</c:v>
                </c:pt>
                <c:pt idx="119">
                  <c:v>04/May</c:v>
                </c:pt>
                <c:pt idx="120">
                  <c:v>05/May</c:v>
                </c:pt>
                <c:pt idx="121">
                  <c:v>06/May</c:v>
                </c:pt>
                <c:pt idx="122">
                  <c:v>07/May</c:v>
                </c:pt>
                <c:pt idx="123">
                  <c:v>08/May</c:v>
                </c:pt>
                <c:pt idx="124">
                  <c:v>09/May</c:v>
                </c:pt>
                <c:pt idx="125">
                  <c:v>10/May</c:v>
                </c:pt>
                <c:pt idx="126">
                  <c:v>11/May</c:v>
                </c:pt>
                <c:pt idx="127">
                  <c:v>12/May</c:v>
                </c:pt>
                <c:pt idx="128">
                  <c:v>13/May</c:v>
                </c:pt>
                <c:pt idx="129">
                  <c:v>14/May</c:v>
                </c:pt>
                <c:pt idx="130">
                  <c:v>15/May</c:v>
                </c:pt>
                <c:pt idx="131">
                  <c:v>16/May</c:v>
                </c:pt>
                <c:pt idx="132">
                  <c:v>17/May</c:v>
                </c:pt>
                <c:pt idx="133">
                  <c:v>18/May</c:v>
                </c:pt>
                <c:pt idx="134">
                  <c:v>19/May</c:v>
                </c:pt>
                <c:pt idx="135">
                  <c:v>20/May</c:v>
                </c:pt>
                <c:pt idx="136">
                  <c:v>21/May</c:v>
                </c:pt>
                <c:pt idx="137">
                  <c:v>22/May</c:v>
                </c:pt>
                <c:pt idx="138">
                  <c:v>23/May</c:v>
                </c:pt>
                <c:pt idx="139">
                  <c:v>24/May</c:v>
                </c:pt>
                <c:pt idx="140">
                  <c:v>25/May</c:v>
                </c:pt>
                <c:pt idx="141">
                  <c:v>26/May</c:v>
                </c:pt>
                <c:pt idx="142">
                  <c:v>27/May</c:v>
                </c:pt>
                <c:pt idx="143">
                  <c:v>28/May</c:v>
                </c:pt>
                <c:pt idx="144">
                  <c:v>29/May</c:v>
                </c:pt>
                <c:pt idx="145">
                  <c:v>30/May</c:v>
                </c:pt>
                <c:pt idx="146">
                  <c:v>31/May</c:v>
                </c:pt>
                <c:pt idx="147">
                  <c:v>01/Jun</c:v>
                </c:pt>
                <c:pt idx="148">
                  <c:v>02/Jun</c:v>
                </c:pt>
                <c:pt idx="149">
                  <c:v>03/Jun</c:v>
                </c:pt>
                <c:pt idx="150">
                  <c:v>04/Jun</c:v>
                </c:pt>
                <c:pt idx="151">
                  <c:v>05/Jun</c:v>
                </c:pt>
                <c:pt idx="152">
                  <c:v>06/Jun</c:v>
                </c:pt>
                <c:pt idx="153">
                  <c:v>07/Jun</c:v>
                </c:pt>
                <c:pt idx="154">
                  <c:v>08/Jun</c:v>
                </c:pt>
                <c:pt idx="155">
                  <c:v>09/Jun</c:v>
                </c:pt>
                <c:pt idx="156">
                  <c:v>10/Jun</c:v>
                </c:pt>
                <c:pt idx="157">
                  <c:v>11/Jun</c:v>
                </c:pt>
                <c:pt idx="158">
                  <c:v>12/Jun</c:v>
                </c:pt>
                <c:pt idx="159">
                  <c:v>13/Jun</c:v>
                </c:pt>
                <c:pt idx="160">
                  <c:v>14/Jun</c:v>
                </c:pt>
                <c:pt idx="161">
                  <c:v>15/Jun</c:v>
                </c:pt>
                <c:pt idx="162">
                  <c:v>16/Jun</c:v>
                </c:pt>
                <c:pt idx="163">
                  <c:v>17/Jun</c:v>
                </c:pt>
                <c:pt idx="164">
                  <c:v>18/Jun</c:v>
                </c:pt>
                <c:pt idx="165">
                  <c:v>19/Jun</c:v>
                </c:pt>
                <c:pt idx="166">
                  <c:v>20/Jun</c:v>
                </c:pt>
                <c:pt idx="167">
                  <c:v>21/Jun</c:v>
                </c:pt>
                <c:pt idx="168">
                  <c:v>22/Jun</c:v>
                </c:pt>
                <c:pt idx="169">
                  <c:v>23/Jun</c:v>
                </c:pt>
                <c:pt idx="170">
                  <c:v>24/Jun</c:v>
                </c:pt>
                <c:pt idx="171">
                  <c:v>25/Jun</c:v>
                </c:pt>
                <c:pt idx="172">
                  <c:v>26/Jun</c:v>
                </c:pt>
                <c:pt idx="173">
                  <c:v>27/Jun</c:v>
                </c:pt>
                <c:pt idx="174">
                  <c:v>28/Jun</c:v>
                </c:pt>
                <c:pt idx="175">
                  <c:v>29/Jun</c:v>
                </c:pt>
                <c:pt idx="176">
                  <c:v>30/Jun</c:v>
                </c:pt>
                <c:pt idx="177">
                  <c:v>01/Jul</c:v>
                </c:pt>
                <c:pt idx="178">
                  <c:v>02/Jul</c:v>
                </c:pt>
                <c:pt idx="179">
                  <c:v>03/Jul</c:v>
                </c:pt>
                <c:pt idx="180">
                  <c:v>04/Jul</c:v>
                </c:pt>
                <c:pt idx="181">
                  <c:v>05/Jul</c:v>
                </c:pt>
                <c:pt idx="182">
                  <c:v>06/Jul</c:v>
                </c:pt>
                <c:pt idx="183">
                  <c:v>07/Jul</c:v>
                </c:pt>
                <c:pt idx="184">
                  <c:v>08/Jul</c:v>
                </c:pt>
                <c:pt idx="185">
                  <c:v>09/Jul</c:v>
                </c:pt>
                <c:pt idx="186">
                  <c:v>10/Jul</c:v>
                </c:pt>
                <c:pt idx="187">
                  <c:v>11/Jul</c:v>
                </c:pt>
                <c:pt idx="188">
                  <c:v>12/Jul</c:v>
                </c:pt>
                <c:pt idx="189">
                  <c:v>13/Jul</c:v>
                </c:pt>
                <c:pt idx="190">
                  <c:v>14/Jul</c:v>
                </c:pt>
                <c:pt idx="191">
                  <c:v>15/Jul</c:v>
                </c:pt>
                <c:pt idx="192">
                  <c:v>16/Jul</c:v>
                </c:pt>
                <c:pt idx="193">
                  <c:v>17/Jul</c:v>
                </c:pt>
                <c:pt idx="194">
                  <c:v>18/Jul</c:v>
                </c:pt>
                <c:pt idx="195">
                  <c:v>19/Jul</c:v>
                </c:pt>
                <c:pt idx="196">
                  <c:v>20/Jul</c:v>
                </c:pt>
                <c:pt idx="197">
                  <c:v>21/Jul</c:v>
                </c:pt>
                <c:pt idx="198">
                  <c:v>22/Jul</c:v>
                </c:pt>
                <c:pt idx="199">
                  <c:v>23/Jul</c:v>
                </c:pt>
                <c:pt idx="200">
                  <c:v>24/Jul</c:v>
                </c:pt>
                <c:pt idx="201">
                  <c:v>25/Jul</c:v>
                </c:pt>
                <c:pt idx="202">
                  <c:v>26/Jul</c:v>
                </c:pt>
                <c:pt idx="203">
                  <c:v>27/Jul</c:v>
                </c:pt>
                <c:pt idx="204">
                  <c:v>28/Jul</c:v>
                </c:pt>
                <c:pt idx="205">
                  <c:v>29/Jul</c:v>
                </c:pt>
                <c:pt idx="206">
                  <c:v>30/Jul</c:v>
                </c:pt>
                <c:pt idx="207">
                  <c:v>31/Jul</c:v>
                </c:pt>
                <c:pt idx="208">
                  <c:v>01/Aug</c:v>
                </c:pt>
                <c:pt idx="209">
                  <c:v>02/Aug</c:v>
                </c:pt>
                <c:pt idx="210">
                  <c:v>03/Aug</c:v>
                </c:pt>
                <c:pt idx="211">
                  <c:v>04/Aug</c:v>
                </c:pt>
                <c:pt idx="212">
                  <c:v>05/Aug</c:v>
                </c:pt>
                <c:pt idx="213">
                  <c:v>06/Aug</c:v>
                </c:pt>
                <c:pt idx="214">
                  <c:v>07/Aug</c:v>
                </c:pt>
                <c:pt idx="215">
                  <c:v>08/Aug</c:v>
                </c:pt>
                <c:pt idx="216">
                  <c:v>09/Aug</c:v>
                </c:pt>
                <c:pt idx="217">
                  <c:v>10/Aug</c:v>
                </c:pt>
                <c:pt idx="218">
                  <c:v>11/Aug</c:v>
                </c:pt>
                <c:pt idx="219">
                  <c:v>12/Aug</c:v>
                </c:pt>
                <c:pt idx="220">
                  <c:v>13/Aug</c:v>
                </c:pt>
                <c:pt idx="221">
                  <c:v>14/Aug</c:v>
                </c:pt>
                <c:pt idx="222">
                  <c:v>15/Aug</c:v>
                </c:pt>
                <c:pt idx="223">
                  <c:v>16/Aug</c:v>
                </c:pt>
                <c:pt idx="224">
                  <c:v>17/Aug</c:v>
                </c:pt>
                <c:pt idx="225">
                  <c:v>18/Aug</c:v>
                </c:pt>
                <c:pt idx="226">
                  <c:v>19/Aug</c:v>
                </c:pt>
                <c:pt idx="227">
                  <c:v>20/Aug</c:v>
                </c:pt>
                <c:pt idx="228">
                  <c:v>21/Aug</c:v>
                </c:pt>
                <c:pt idx="229">
                  <c:v>22/Aug</c:v>
                </c:pt>
                <c:pt idx="230">
                  <c:v>23/Aug</c:v>
                </c:pt>
                <c:pt idx="231">
                  <c:v>24/Aug</c:v>
                </c:pt>
                <c:pt idx="232">
                  <c:v>25/Aug</c:v>
                </c:pt>
                <c:pt idx="233">
                  <c:v>26/Aug</c:v>
                </c:pt>
                <c:pt idx="234">
                  <c:v>27/Aug</c:v>
                </c:pt>
                <c:pt idx="235">
                  <c:v>28/Aug</c:v>
                </c:pt>
                <c:pt idx="236">
                  <c:v>29/Aug</c:v>
                </c:pt>
                <c:pt idx="237">
                  <c:v>30/Aug</c:v>
                </c:pt>
                <c:pt idx="238">
                  <c:v>31/Aug</c:v>
                </c:pt>
                <c:pt idx="239">
                  <c:v>01/Sep</c:v>
                </c:pt>
                <c:pt idx="240">
                  <c:v>02/Sep</c:v>
                </c:pt>
                <c:pt idx="241">
                  <c:v>03/Sep</c:v>
                </c:pt>
                <c:pt idx="242">
                  <c:v>04/Sep</c:v>
                </c:pt>
                <c:pt idx="243">
                  <c:v>05/Sep</c:v>
                </c:pt>
                <c:pt idx="244">
                  <c:v>06/Sep</c:v>
                </c:pt>
                <c:pt idx="245">
                  <c:v>07/Sep</c:v>
                </c:pt>
                <c:pt idx="246">
                  <c:v>08/Sep</c:v>
                </c:pt>
                <c:pt idx="247">
                  <c:v>09/Sep</c:v>
                </c:pt>
                <c:pt idx="248">
                  <c:v>10/Sep</c:v>
                </c:pt>
                <c:pt idx="249">
                  <c:v>11/Sep</c:v>
                </c:pt>
                <c:pt idx="250">
                  <c:v>12/Sep</c:v>
                </c:pt>
                <c:pt idx="251">
                  <c:v>13/Sep</c:v>
                </c:pt>
                <c:pt idx="252">
                  <c:v>14/Sep</c:v>
                </c:pt>
                <c:pt idx="253">
                  <c:v>15/Sep</c:v>
                </c:pt>
                <c:pt idx="254">
                  <c:v>16/Sep</c:v>
                </c:pt>
                <c:pt idx="255">
                  <c:v>17/Sep</c:v>
                </c:pt>
                <c:pt idx="256">
                  <c:v>18/Sep</c:v>
                </c:pt>
                <c:pt idx="257">
                  <c:v>19/Sep</c:v>
                </c:pt>
                <c:pt idx="258">
                  <c:v>20/Sep</c:v>
                </c:pt>
                <c:pt idx="259">
                  <c:v>21/Sep</c:v>
                </c:pt>
                <c:pt idx="260">
                  <c:v>22/Sep</c:v>
                </c:pt>
                <c:pt idx="261">
                  <c:v>23/Sep</c:v>
                </c:pt>
                <c:pt idx="262">
                  <c:v>24/Sep</c:v>
                </c:pt>
                <c:pt idx="263">
                  <c:v>25/Sep</c:v>
                </c:pt>
                <c:pt idx="264">
                  <c:v>26/Sep</c:v>
                </c:pt>
                <c:pt idx="265">
                  <c:v>27/Sep</c:v>
                </c:pt>
                <c:pt idx="266">
                  <c:v>28/Sep</c:v>
                </c:pt>
                <c:pt idx="267">
                  <c:v>29/Sep</c:v>
                </c:pt>
                <c:pt idx="268">
                  <c:v>30/Sep</c:v>
                </c:pt>
                <c:pt idx="269">
                  <c:v>01/Oct</c:v>
                </c:pt>
                <c:pt idx="270">
                  <c:v>02/Oct</c:v>
                </c:pt>
                <c:pt idx="271">
                  <c:v>03/Oct</c:v>
                </c:pt>
                <c:pt idx="272">
                  <c:v>04/Oct</c:v>
                </c:pt>
                <c:pt idx="273">
                  <c:v>05/Oct</c:v>
                </c:pt>
                <c:pt idx="274">
                  <c:v>06/Oct</c:v>
                </c:pt>
                <c:pt idx="275">
                  <c:v>07/Oct</c:v>
                </c:pt>
                <c:pt idx="276">
                  <c:v>08/Oct</c:v>
                </c:pt>
                <c:pt idx="277">
                  <c:v>09/Oct</c:v>
                </c:pt>
                <c:pt idx="278">
                  <c:v>10/Oct</c:v>
                </c:pt>
                <c:pt idx="279">
                  <c:v>11/Oct</c:v>
                </c:pt>
                <c:pt idx="280">
                  <c:v>12/Oct</c:v>
                </c:pt>
                <c:pt idx="281">
                  <c:v>13/Oct</c:v>
                </c:pt>
                <c:pt idx="282">
                  <c:v>14/Oct</c:v>
                </c:pt>
                <c:pt idx="283">
                  <c:v>15/Oct</c:v>
                </c:pt>
                <c:pt idx="284">
                  <c:v>16/Oct</c:v>
                </c:pt>
                <c:pt idx="285">
                  <c:v>17/Oct</c:v>
                </c:pt>
                <c:pt idx="286">
                  <c:v>18/Oct</c:v>
                </c:pt>
                <c:pt idx="287">
                  <c:v>19/Oct</c:v>
                </c:pt>
                <c:pt idx="288">
                  <c:v>20/Oct</c:v>
                </c:pt>
                <c:pt idx="289">
                  <c:v>21/Oct</c:v>
                </c:pt>
                <c:pt idx="290">
                  <c:v>22/Oct</c:v>
                </c:pt>
                <c:pt idx="291">
                  <c:v>23/Oct</c:v>
                </c:pt>
                <c:pt idx="292">
                  <c:v>24/Oct</c:v>
                </c:pt>
                <c:pt idx="293">
                  <c:v>25/Oct</c:v>
                </c:pt>
                <c:pt idx="294">
                  <c:v>26/Oct</c:v>
                </c:pt>
                <c:pt idx="295">
                  <c:v>27/Oct</c:v>
                </c:pt>
                <c:pt idx="296">
                  <c:v>28/Oct</c:v>
                </c:pt>
                <c:pt idx="297">
                  <c:v>29/Oct</c:v>
                </c:pt>
                <c:pt idx="298">
                  <c:v>30/Oct</c:v>
                </c:pt>
                <c:pt idx="299">
                  <c:v>31/Oct</c:v>
                </c:pt>
                <c:pt idx="300">
                  <c:v>01/Nov</c:v>
                </c:pt>
                <c:pt idx="301">
                  <c:v>02/Nov</c:v>
                </c:pt>
                <c:pt idx="302">
                  <c:v>03/Nov</c:v>
                </c:pt>
                <c:pt idx="303">
                  <c:v>04/Nov</c:v>
                </c:pt>
                <c:pt idx="304">
                  <c:v>05/Nov</c:v>
                </c:pt>
                <c:pt idx="305">
                  <c:v>06/Nov</c:v>
                </c:pt>
                <c:pt idx="306">
                  <c:v>07/Nov</c:v>
                </c:pt>
                <c:pt idx="307">
                  <c:v>08/Nov</c:v>
                </c:pt>
                <c:pt idx="308">
                  <c:v>09/Nov</c:v>
                </c:pt>
                <c:pt idx="309">
                  <c:v>10/Nov</c:v>
                </c:pt>
                <c:pt idx="310">
                  <c:v>11/Nov</c:v>
                </c:pt>
                <c:pt idx="311">
                  <c:v>12/Nov</c:v>
                </c:pt>
                <c:pt idx="312">
                  <c:v>13/Nov</c:v>
                </c:pt>
                <c:pt idx="313">
                  <c:v>14/Nov</c:v>
                </c:pt>
                <c:pt idx="314">
                  <c:v>15/Nov</c:v>
                </c:pt>
                <c:pt idx="315">
                  <c:v>16/Nov</c:v>
                </c:pt>
                <c:pt idx="316">
                  <c:v>17/Nov</c:v>
                </c:pt>
                <c:pt idx="317">
                  <c:v>18/Nov</c:v>
                </c:pt>
                <c:pt idx="318">
                  <c:v>19/Nov</c:v>
                </c:pt>
                <c:pt idx="319">
                  <c:v>20/Nov</c:v>
                </c:pt>
                <c:pt idx="320">
                  <c:v>21/Nov</c:v>
                </c:pt>
                <c:pt idx="321">
                  <c:v>22/Nov</c:v>
                </c:pt>
                <c:pt idx="322">
                  <c:v>23/Nov</c:v>
                </c:pt>
                <c:pt idx="323">
                  <c:v>24/Nov</c:v>
                </c:pt>
                <c:pt idx="324">
                  <c:v>25/Nov</c:v>
                </c:pt>
                <c:pt idx="325">
                  <c:v>26/Nov</c:v>
                </c:pt>
                <c:pt idx="326">
                  <c:v>27/Nov</c:v>
                </c:pt>
                <c:pt idx="327">
                  <c:v>28/Nov</c:v>
                </c:pt>
                <c:pt idx="328">
                  <c:v>29/Nov</c:v>
                </c:pt>
                <c:pt idx="329">
                  <c:v>30/Nov</c:v>
                </c:pt>
                <c:pt idx="330">
                  <c:v>01/Dec</c:v>
                </c:pt>
                <c:pt idx="331">
                  <c:v>02/Dec</c:v>
                </c:pt>
                <c:pt idx="332">
                  <c:v>03/Dec</c:v>
                </c:pt>
                <c:pt idx="333">
                  <c:v>04/Dec</c:v>
                </c:pt>
                <c:pt idx="334">
                  <c:v>05/Dec</c:v>
                </c:pt>
                <c:pt idx="335">
                  <c:v>06/Dec</c:v>
                </c:pt>
                <c:pt idx="336">
                  <c:v>07/Dec</c:v>
                </c:pt>
                <c:pt idx="337">
                  <c:v>08/Dec</c:v>
                </c:pt>
                <c:pt idx="338">
                  <c:v>09/Dec</c:v>
                </c:pt>
                <c:pt idx="339">
                  <c:v>10/Dec</c:v>
                </c:pt>
                <c:pt idx="340">
                  <c:v>11/Dec</c:v>
                </c:pt>
                <c:pt idx="341">
                  <c:v>12/Dec</c:v>
                </c:pt>
                <c:pt idx="342">
                  <c:v>13/Dec</c:v>
                </c:pt>
                <c:pt idx="343">
                  <c:v>14/Dec</c:v>
                </c:pt>
                <c:pt idx="344">
                  <c:v>15/Dec</c:v>
                </c:pt>
                <c:pt idx="345">
                  <c:v>16/Dec</c:v>
                </c:pt>
                <c:pt idx="346">
                  <c:v>17/Dec</c:v>
                </c:pt>
                <c:pt idx="347">
                  <c:v>18/Dec</c:v>
                </c:pt>
                <c:pt idx="348">
                  <c:v>19/Dec</c:v>
                </c:pt>
                <c:pt idx="349">
                  <c:v>20/Dec</c:v>
                </c:pt>
                <c:pt idx="350">
                  <c:v>21/Dec</c:v>
                </c:pt>
                <c:pt idx="351">
                  <c:v>22/Dec</c:v>
                </c:pt>
                <c:pt idx="352">
                  <c:v>23/Dec</c:v>
                </c:pt>
                <c:pt idx="353">
                  <c:v>24/Dec</c:v>
                </c:pt>
                <c:pt idx="354">
                  <c:v>25/Dec</c:v>
                </c:pt>
                <c:pt idx="355">
                  <c:v>26/Dec</c:v>
                </c:pt>
                <c:pt idx="356">
                  <c:v>27/Dec</c:v>
                </c:pt>
                <c:pt idx="357">
                  <c:v>28/Dec</c:v>
                </c:pt>
                <c:pt idx="358">
                  <c:v>29/Dec</c:v>
                </c:pt>
                <c:pt idx="359">
                  <c:v>30/Dec</c:v>
                </c:pt>
                <c:pt idx="360">
                  <c:v>31/Dec</c:v>
                </c:pt>
              </c:strCache>
            </c:strRef>
          </c:cat>
          <c:val>
            <c:numRef>
              <c:f>'Exploratory Data Analysis'!$C$21:$C$382</c:f>
              <c:numCache>
                <c:formatCode>#,##0</c:formatCode>
                <c:ptCount val="361"/>
                <c:pt idx="0">
                  <c:v>3366900</c:v>
                </c:pt>
                <c:pt idx="1">
                  <c:v>3453629</c:v>
                </c:pt>
                <c:pt idx="2">
                  <c:v>3782448</c:v>
                </c:pt>
                <c:pt idx="3">
                  <c:v>4039600</c:v>
                </c:pt>
                <c:pt idx="4">
                  <c:v>4199999</c:v>
                </c:pt>
                <c:pt idx="5">
                  <c:v>4147021</c:v>
                </c:pt>
                <c:pt idx="6">
                  <c:v>4119662</c:v>
                </c:pt>
                <c:pt idx="7">
                  <c:v>3632325</c:v>
                </c:pt>
                <c:pt idx="8">
                  <c:v>3665134</c:v>
                </c:pt>
                <c:pt idx="9">
                  <c:v>3818833</c:v>
                </c:pt>
                <c:pt idx="10">
                  <c:v>4011279</c:v>
                </c:pt>
                <c:pt idx="11">
                  <c:v>3884996</c:v>
                </c:pt>
                <c:pt idx="12">
                  <c:v>3794971</c:v>
                </c:pt>
                <c:pt idx="13">
                  <c:v>3684011</c:v>
                </c:pt>
                <c:pt idx="14">
                  <c:v>3746921</c:v>
                </c:pt>
                <c:pt idx="15">
                  <c:v>3793420</c:v>
                </c:pt>
                <c:pt idx="16">
                  <c:v>3596495</c:v>
                </c:pt>
                <c:pt idx="17">
                  <c:v>3500000</c:v>
                </c:pt>
                <c:pt idx="18">
                  <c:v>3388000</c:v>
                </c:pt>
                <c:pt idx="19">
                  <c:v>3347949</c:v>
                </c:pt>
                <c:pt idx="20">
                  <c:v>3367218</c:v>
                </c:pt>
                <c:pt idx="21">
                  <c:v>3488556</c:v>
                </c:pt>
                <c:pt idx="22">
                  <c:v>3295100</c:v>
                </c:pt>
                <c:pt idx="23">
                  <c:v>3205973</c:v>
                </c:pt>
                <c:pt idx="24">
                  <c:v>3467177</c:v>
                </c:pt>
                <c:pt idx="25">
                  <c:v>3866571</c:v>
                </c:pt>
                <c:pt idx="26">
                  <c:v>3480565</c:v>
                </c:pt>
                <c:pt idx="27">
                  <c:v>3420500</c:v>
                </c:pt>
                <c:pt idx="28">
                  <c:v>3470000</c:v>
                </c:pt>
                <c:pt idx="29">
                  <c:v>3654505</c:v>
                </c:pt>
                <c:pt idx="30">
                  <c:v>3837500</c:v>
                </c:pt>
                <c:pt idx="31">
                  <c:v>3878599</c:v>
                </c:pt>
                <c:pt idx="32">
                  <c:v>3970000</c:v>
                </c:pt>
                <c:pt idx="33">
                  <c:v>4100000</c:v>
                </c:pt>
                <c:pt idx="34">
                  <c:v>3974896</c:v>
                </c:pt>
                <c:pt idx="35">
                  <c:v>4751931</c:v>
                </c:pt>
                <c:pt idx="36">
                  <c:v>4820123</c:v>
                </c:pt>
                <c:pt idx="37">
                  <c:v>4736717</c:v>
                </c:pt>
                <c:pt idx="38">
                  <c:v>4897500</c:v>
                </c:pt>
                <c:pt idx="39">
                  <c:v>4824660</c:v>
                </c:pt>
                <c:pt idx="40">
                  <c:v>4802730</c:v>
                </c:pt>
                <c:pt idx="41">
                  <c:v>4970000</c:v>
                </c:pt>
                <c:pt idx="42">
                  <c:v>4960000</c:v>
                </c:pt>
                <c:pt idx="43">
                  <c:v>5060234</c:v>
                </c:pt>
                <c:pt idx="44">
                  <c:v>5266845</c:v>
                </c:pt>
                <c:pt idx="45">
                  <c:v>5234400</c:v>
                </c:pt>
                <c:pt idx="46">
                  <c:v>5660560</c:v>
                </c:pt>
                <c:pt idx="47">
                  <c:v>5750000</c:v>
                </c:pt>
                <c:pt idx="48">
                  <c:v>5848160</c:v>
                </c:pt>
                <c:pt idx="49">
                  <c:v>5665147</c:v>
                </c:pt>
                <c:pt idx="50">
                  <c:v>5229487</c:v>
                </c:pt>
                <c:pt idx="51">
                  <c:v>5144201</c:v>
                </c:pt>
                <c:pt idx="52">
                  <c:v>5207400</c:v>
                </c:pt>
                <c:pt idx="53">
                  <c:v>4847208</c:v>
                </c:pt>
                <c:pt idx="54">
                  <c:v>4838014</c:v>
                </c:pt>
                <c:pt idx="55">
                  <c:v>4692000</c:v>
                </c:pt>
                <c:pt idx="57">
                  <c:v>4975722</c:v>
                </c:pt>
                <c:pt idx="58">
                  <c:v>5273720</c:v>
                </c:pt>
                <c:pt idx="59">
                  <c:v>5075439</c:v>
                </c:pt>
                <c:pt idx="60">
                  <c:v>4945561</c:v>
                </c:pt>
                <c:pt idx="61">
                  <c:v>4991573</c:v>
                </c:pt>
                <c:pt idx="62">
                  <c:v>5183215</c:v>
                </c:pt>
                <c:pt idx="63">
                  <c:v>5412600</c:v>
                </c:pt>
                <c:pt idx="64">
                  <c:v>5584768</c:v>
                </c:pt>
                <c:pt idx="65">
                  <c:v>5740000</c:v>
                </c:pt>
                <c:pt idx="66">
                  <c:v>5812000</c:v>
                </c:pt>
                <c:pt idx="67">
                  <c:v>5795922</c:v>
                </c:pt>
                <c:pt idx="68">
                  <c:v>6178500</c:v>
                </c:pt>
                <c:pt idx="69">
                  <c:v>6150082</c:v>
                </c:pt>
                <c:pt idx="70">
                  <c:v>6056159</c:v>
                </c:pt>
                <c:pt idx="71">
                  <c:v>5718578</c:v>
                </c:pt>
                <c:pt idx="72">
                  <c:v>5956759</c:v>
                </c:pt>
                <c:pt idx="73">
                  <c:v>6009999</c:v>
                </c:pt>
                <c:pt idx="74">
                  <c:v>5944839</c:v>
                </c:pt>
                <c:pt idx="75">
                  <c:v>5988000</c:v>
                </c:pt>
                <c:pt idx="76">
                  <c:v>5816458</c:v>
                </c:pt>
                <c:pt idx="77">
                  <c:v>5844536</c:v>
                </c:pt>
                <c:pt idx="78">
                  <c:v>5590362</c:v>
                </c:pt>
                <c:pt idx="79">
                  <c:v>5724500</c:v>
                </c:pt>
                <c:pt idx="80">
                  <c:v>5323452</c:v>
                </c:pt>
                <c:pt idx="81">
                  <c:v>5562721</c:v>
                </c:pt>
                <c:pt idx="82">
                  <c:v>5662433</c:v>
                </c:pt>
                <c:pt idx="83">
                  <c:v>5657623</c:v>
                </c:pt>
                <c:pt idx="84">
                  <c:v>5843077</c:v>
                </c:pt>
                <c:pt idx="85">
                  <c:v>5938500</c:v>
                </c:pt>
                <c:pt idx="86">
                  <c:v>5980000</c:v>
                </c:pt>
                <c:pt idx="87">
                  <c:v>6010000</c:v>
                </c:pt>
                <c:pt idx="88">
                  <c:v>5995000</c:v>
                </c:pt>
                <c:pt idx="89">
                  <c:v>5985152</c:v>
                </c:pt>
                <c:pt idx="90">
                  <c:v>5850094</c:v>
                </c:pt>
                <c:pt idx="91">
                  <c:v>5946895</c:v>
                </c:pt>
                <c:pt idx="92">
                  <c:v>5902819</c:v>
                </c:pt>
                <c:pt idx="93">
                  <c:v>5867579</c:v>
                </c:pt>
                <c:pt idx="94">
                  <c:v>5840000</c:v>
                </c:pt>
                <c:pt idx="95">
                  <c:v>5917000</c:v>
                </c:pt>
                <c:pt idx="96">
                  <c:v>6118000</c:v>
                </c:pt>
                <c:pt idx="97">
                  <c:v>6041642</c:v>
                </c:pt>
                <c:pt idx="98">
                  <c:v>6119709</c:v>
                </c:pt>
                <c:pt idx="99">
                  <c:v>6388000</c:v>
                </c:pt>
                <c:pt idx="100">
                  <c:v>6490000</c:v>
                </c:pt>
                <c:pt idx="101">
                  <c:v>6385512</c:v>
                </c:pt>
                <c:pt idx="102">
                  <c:v>6299868</c:v>
                </c:pt>
                <c:pt idx="103">
                  <c:v>6254578</c:v>
                </c:pt>
                <c:pt idx="104">
                  <c:v>5740404</c:v>
                </c:pt>
                <c:pt idx="105">
                  <c:v>5762466</c:v>
                </c:pt>
                <c:pt idx="106">
                  <c:v>5714534</c:v>
                </c:pt>
                <c:pt idx="107">
                  <c:v>5637300</c:v>
                </c:pt>
                <c:pt idx="108">
                  <c:v>5549999</c:v>
                </c:pt>
                <c:pt idx="109">
                  <c:v>5138003</c:v>
                </c:pt>
                <c:pt idx="110">
                  <c:v>5115001</c:v>
                </c:pt>
                <c:pt idx="111">
                  <c:v>5256777</c:v>
                </c:pt>
                <c:pt idx="112">
                  <c:v>5441957</c:v>
                </c:pt>
                <c:pt idx="113">
                  <c:v>5580000</c:v>
                </c:pt>
                <c:pt idx="114">
                  <c:v>5647472</c:v>
                </c:pt>
                <c:pt idx="115">
                  <c:v>5475536</c:v>
                </c:pt>
                <c:pt idx="116">
                  <c:v>5855371</c:v>
                </c:pt>
                <c:pt idx="117">
                  <c:v>5829335</c:v>
                </c:pt>
                <c:pt idx="118">
                  <c:v>5898852</c:v>
                </c:pt>
                <c:pt idx="119">
                  <c:v>5665950</c:v>
                </c:pt>
                <c:pt idx="120">
                  <c:v>5797407</c:v>
                </c:pt>
                <c:pt idx="121">
                  <c:v>5846593</c:v>
                </c:pt>
                <c:pt idx="122">
                  <c:v>5875000</c:v>
                </c:pt>
                <c:pt idx="123">
                  <c:v>5956000</c:v>
                </c:pt>
                <c:pt idx="124">
                  <c:v>5948134</c:v>
                </c:pt>
                <c:pt idx="125">
                  <c:v>5958499</c:v>
                </c:pt>
                <c:pt idx="126">
                  <c:v>5789800</c:v>
                </c:pt>
                <c:pt idx="127">
                  <c:v>5799826</c:v>
                </c:pt>
                <c:pt idx="128">
                  <c:v>5138995</c:v>
                </c:pt>
                <c:pt idx="129">
                  <c:v>5157516</c:v>
                </c:pt>
                <c:pt idx="130">
                  <c:v>4990000</c:v>
                </c:pt>
                <c:pt idx="131">
                  <c:v>4979000</c:v>
                </c:pt>
                <c:pt idx="132">
                  <c:v>4583348</c:v>
                </c:pt>
                <c:pt idx="133">
                  <c:v>4586017</c:v>
                </c:pt>
                <c:pt idx="134">
                  <c:v>4086740</c:v>
                </c:pt>
                <c:pt idx="135">
                  <c:v>4262543</c:v>
                </c:pt>
                <c:pt idx="136">
                  <c:v>4179674</c:v>
                </c:pt>
                <c:pt idx="137">
                  <c:v>3886115</c:v>
                </c:pt>
                <c:pt idx="138">
                  <c:v>3748418</c:v>
                </c:pt>
                <c:pt idx="139">
                  <c:v>3995365</c:v>
                </c:pt>
                <c:pt idx="140">
                  <c:v>3976096</c:v>
                </c:pt>
                <c:pt idx="141">
                  <c:v>4086120</c:v>
                </c:pt>
                <c:pt idx="142">
                  <c:v>4043240</c:v>
                </c:pt>
                <c:pt idx="143">
                  <c:v>3827159</c:v>
                </c:pt>
                <c:pt idx="144">
                  <c:v>3732000</c:v>
                </c:pt>
                <c:pt idx="145">
                  <c:v>3652324</c:v>
                </c:pt>
                <c:pt idx="146">
                  <c:v>3791287</c:v>
                </c:pt>
                <c:pt idx="147">
                  <c:v>3744802</c:v>
                </c:pt>
                <c:pt idx="148">
                  <c:v>3825640</c:v>
                </c:pt>
                <c:pt idx="149">
                  <c:v>3948791</c:v>
                </c:pt>
                <c:pt idx="150">
                  <c:v>3796361</c:v>
                </c:pt>
                <c:pt idx="151">
                  <c:v>3791857</c:v>
                </c:pt>
                <c:pt idx="152">
                  <c:v>3681209</c:v>
                </c:pt>
                <c:pt idx="153">
                  <c:v>3679803</c:v>
                </c:pt>
                <c:pt idx="154">
                  <c:v>3384146</c:v>
                </c:pt>
                <c:pt idx="155">
                  <c:v>3767660</c:v>
                </c:pt>
                <c:pt idx="156">
                  <c:v>3843702</c:v>
                </c:pt>
                <c:pt idx="157">
                  <c:v>3769000</c:v>
                </c:pt>
                <c:pt idx="158">
                  <c:v>3622280</c:v>
                </c:pt>
                <c:pt idx="159">
                  <c:v>3981672</c:v>
                </c:pt>
                <c:pt idx="160">
                  <c:v>4106077</c:v>
                </c:pt>
                <c:pt idx="161">
                  <c:v>4138002</c:v>
                </c:pt>
                <c:pt idx="162">
                  <c:v>4049002</c:v>
                </c:pt>
                <c:pt idx="163">
                  <c:v>3957503</c:v>
                </c:pt>
                <c:pt idx="164">
                  <c:v>3812909</c:v>
                </c:pt>
                <c:pt idx="165">
                  <c:v>3646463</c:v>
                </c:pt>
                <c:pt idx="166">
                  <c:v>3612813</c:v>
                </c:pt>
                <c:pt idx="167">
                  <c:v>3470268</c:v>
                </c:pt>
                <c:pt idx="168">
                  <c:v>3439205</c:v>
                </c:pt>
                <c:pt idx="169">
                  <c:v>3485120</c:v>
                </c:pt>
                <c:pt idx="170">
                  <c:v>3527490</c:v>
                </c:pt>
                <c:pt idx="171">
                  <c:v>3510000</c:v>
                </c:pt>
                <c:pt idx="172">
                  <c:v>3320959</c:v>
                </c:pt>
                <c:pt idx="173">
                  <c:v>3498342</c:v>
                </c:pt>
                <c:pt idx="174">
                  <c:v>3528603</c:v>
                </c:pt>
                <c:pt idx="175">
                  <c:v>3666180</c:v>
                </c:pt>
                <c:pt idx="176">
                  <c:v>3533325</c:v>
                </c:pt>
                <c:pt idx="177">
                  <c:v>3447555</c:v>
                </c:pt>
                <c:pt idx="178">
                  <c:v>3392645</c:v>
                </c:pt>
                <c:pt idx="179">
                  <c:v>3494256</c:v>
                </c:pt>
                <c:pt idx="180">
                  <c:v>3598571</c:v>
                </c:pt>
                <c:pt idx="181">
                  <c:v>3455972</c:v>
                </c:pt>
                <c:pt idx="182">
                  <c:v>3511432</c:v>
                </c:pt>
                <c:pt idx="183">
                  <c:v>3509828</c:v>
                </c:pt>
                <c:pt idx="184">
                  <c:v>3349324</c:v>
                </c:pt>
                <c:pt idx="185">
                  <c:v>3426253</c:v>
                </c:pt>
                <c:pt idx="186">
                  <c:v>3419526</c:v>
                </c:pt>
                <c:pt idx="187">
                  <c:v>3460200</c:v>
                </c:pt>
                <c:pt idx="188">
                  <c:v>3467021</c:v>
                </c:pt>
                <c:pt idx="189">
                  <c:v>3333471</c:v>
                </c:pt>
                <c:pt idx="190">
                  <c:v>3318999</c:v>
                </c:pt>
                <c:pt idx="191">
                  <c:v>3269172</c:v>
                </c:pt>
                <c:pt idx="192">
                  <c:v>3225221</c:v>
                </c:pt>
                <c:pt idx="193">
                  <c:v>3243707</c:v>
                </c:pt>
                <c:pt idx="194">
                  <c:v>3220055</c:v>
                </c:pt>
                <c:pt idx="195">
                  <c:v>3189059</c:v>
                </c:pt>
                <c:pt idx="196">
                  <c:v>3000572</c:v>
                </c:pt>
                <c:pt idx="197">
                  <c:v>3295000</c:v>
                </c:pt>
                <c:pt idx="198">
                  <c:v>3280646</c:v>
                </c:pt>
                <c:pt idx="199">
                  <c:v>3380000</c:v>
                </c:pt>
                <c:pt idx="200">
                  <c:v>3452550</c:v>
                </c:pt>
                <c:pt idx="201">
                  <c:v>3978293</c:v>
                </c:pt>
                <c:pt idx="202">
                  <c:v>4057245</c:v>
                </c:pt>
                <c:pt idx="203">
                  <c:v>4036657</c:v>
                </c:pt>
                <c:pt idx="204">
                  <c:v>4092846</c:v>
                </c:pt>
                <c:pt idx="205">
                  <c:v>4063914</c:v>
                </c:pt>
                <c:pt idx="206">
                  <c:v>4240000</c:v>
                </c:pt>
                <c:pt idx="207">
                  <c:v>4260000</c:v>
                </c:pt>
                <c:pt idx="208">
                  <c:v>4247528</c:v>
                </c:pt>
                <c:pt idx="209">
                  <c:v>4044658</c:v>
                </c:pt>
                <c:pt idx="210">
                  <c:v>3882481</c:v>
                </c:pt>
                <c:pt idx="211">
                  <c:v>3997396</c:v>
                </c:pt>
                <c:pt idx="212">
                  <c:v>4143118</c:v>
                </c:pt>
                <c:pt idx="213">
                  <c:v>4379242</c:v>
                </c:pt>
                <c:pt idx="214">
                  <c:v>4483759</c:v>
                </c:pt>
                <c:pt idx="215">
                  <c:v>4538681</c:v>
                </c:pt>
                <c:pt idx="216">
                  <c:v>4672986</c:v>
                </c:pt>
                <c:pt idx="217">
                  <c:v>4618347</c:v>
                </c:pt>
                <c:pt idx="218">
                  <c:v>4677500</c:v>
                </c:pt>
                <c:pt idx="219">
                  <c:v>4602308</c:v>
                </c:pt>
                <c:pt idx="220">
                  <c:v>4790000</c:v>
                </c:pt>
                <c:pt idx="221">
                  <c:v>4818151</c:v>
                </c:pt>
                <c:pt idx="222">
                  <c:v>4804425</c:v>
                </c:pt>
                <c:pt idx="223">
                  <c:v>4774450</c:v>
                </c:pt>
                <c:pt idx="224">
                  <c:v>4716294</c:v>
                </c:pt>
                <c:pt idx="225">
                  <c:v>4603100</c:v>
                </c:pt>
                <c:pt idx="226">
                  <c:v>4742413</c:v>
                </c:pt>
                <c:pt idx="227">
                  <c:v>4940000</c:v>
                </c:pt>
                <c:pt idx="228">
                  <c:v>4981254</c:v>
                </c:pt>
                <c:pt idx="229">
                  <c:v>5054019</c:v>
                </c:pt>
                <c:pt idx="230">
                  <c:v>5051799</c:v>
                </c:pt>
                <c:pt idx="231">
                  <c:v>4986771</c:v>
                </c:pt>
                <c:pt idx="232">
                  <c:v>4936542</c:v>
                </c:pt>
                <c:pt idx="233">
                  <c:v>4805314</c:v>
                </c:pt>
                <c:pt idx="234">
                  <c:v>4931326</c:v>
                </c:pt>
                <c:pt idx="235">
                  <c:v>4965000</c:v>
                </c:pt>
                <c:pt idx="236">
                  <c:v>4940807</c:v>
                </c:pt>
                <c:pt idx="237">
                  <c:v>4873571</c:v>
                </c:pt>
                <c:pt idx="238">
                  <c:v>4826159</c:v>
                </c:pt>
                <c:pt idx="239">
                  <c:v>4993509</c:v>
                </c:pt>
                <c:pt idx="240">
                  <c:v>5041200</c:v>
                </c:pt>
                <c:pt idx="241">
                  <c:v>5104611</c:v>
                </c:pt>
                <c:pt idx="242">
                  <c:v>5054541</c:v>
                </c:pt>
                <c:pt idx="243">
                  <c:v>5196268</c:v>
                </c:pt>
                <c:pt idx="244">
                  <c:v>5293878</c:v>
                </c:pt>
                <c:pt idx="245">
                  <c:v>5274448</c:v>
                </c:pt>
                <c:pt idx="246">
                  <c:v>4688538</c:v>
                </c:pt>
                <c:pt idx="247">
                  <c:v>4739638</c:v>
                </c:pt>
                <c:pt idx="248">
                  <c:v>4681287</c:v>
                </c:pt>
                <c:pt idx="249">
                  <c:v>4600133</c:v>
                </c:pt>
                <c:pt idx="250">
                  <c:v>4650462</c:v>
                </c:pt>
                <c:pt idx="251">
                  <c:v>4689700</c:v>
                </c:pt>
                <c:pt idx="252">
                  <c:v>4749854</c:v>
                </c:pt>
                <c:pt idx="253">
                  <c:v>4845516</c:v>
                </c:pt>
                <c:pt idx="254">
                  <c:v>4850000</c:v>
                </c:pt>
                <c:pt idx="255">
                  <c:v>4816596</c:v>
                </c:pt>
                <c:pt idx="256">
                  <c:v>4880897</c:v>
                </c:pt>
                <c:pt idx="257">
                  <c:v>4833332</c:v>
                </c:pt>
                <c:pt idx="258">
                  <c:v>4583790</c:v>
                </c:pt>
                <c:pt idx="259">
                  <c:v>4365553</c:v>
                </c:pt>
                <c:pt idx="260">
                  <c:v>4423192</c:v>
                </c:pt>
                <c:pt idx="261">
                  <c:v>4506297</c:v>
                </c:pt>
                <c:pt idx="262">
                  <c:v>4515781</c:v>
                </c:pt>
                <c:pt idx="263">
                  <c:v>4298506</c:v>
                </c:pt>
                <c:pt idx="264">
                  <c:v>4435000</c:v>
                </c:pt>
                <c:pt idx="265">
                  <c:v>4425076</c:v>
                </c:pt>
                <c:pt idx="266">
                  <c:v>4277112</c:v>
                </c:pt>
                <c:pt idx="267">
                  <c:v>4372663</c:v>
                </c:pt>
                <c:pt idx="268">
                  <c:v>4409770</c:v>
                </c:pt>
                <c:pt idx="269">
                  <c:v>4849568</c:v>
                </c:pt>
                <c:pt idx="270">
                  <c:v>4834670</c:v>
                </c:pt>
                <c:pt idx="271">
                  <c:v>4925930</c:v>
                </c:pt>
                <c:pt idx="272">
                  <c:v>4978933</c:v>
                </c:pt>
                <c:pt idx="273">
                  <c:v>5192783</c:v>
                </c:pt>
                <c:pt idx="274">
                  <c:v>5580000</c:v>
                </c:pt>
                <c:pt idx="275">
                  <c:v>5523153</c:v>
                </c:pt>
                <c:pt idx="276">
                  <c:v>5615058</c:v>
                </c:pt>
                <c:pt idx="277">
                  <c:v>5548687</c:v>
                </c:pt>
                <c:pt idx="278">
                  <c:v>5675901</c:v>
                </c:pt>
                <c:pt idx="279">
                  <c:v>5800000</c:v>
                </c:pt>
                <c:pt idx="280">
                  <c:v>5768888</c:v>
                </c:pt>
                <c:pt idx="281">
                  <c:v>5850002</c:v>
                </c:pt>
                <c:pt idx="282">
                  <c:v>5945000</c:v>
                </c:pt>
                <c:pt idx="283">
                  <c:v>6289800</c:v>
                </c:pt>
                <c:pt idx="284">
                  <c:v>6236608</c:v>
                </c:pt>
                <c:pt idx="285">
                  <c:v>6255273</c:v>
                </c:pt>
                <c:pt idx="286">
                  <c:v>6297338</c:v>
                </c:pt>
                <c:pt idx="287">
                  <c:v>6449812</c:v>
                </c:pt>
                <c:pt idx="288">
                  <c:v>6699472</c:v>
                </c:pt>
                <c:pt idx="289">
                  <c:v>6664314</c:v>
                </c:pt>
                <c:pt idx="290">
                  <c:v>6374562</c:v>
                </c:pt>
                <c:pt idx="291">
                  <c:v>6174351</c:v>
                </c:pt>
                <c:pt idx="292">
                  <c:v>6222314</c:v>
                </c:pt>
                <c:pt idx="293">
                  <c:v>6370330</c:v>
                </c:pt>
                <c:pt idx="294">
                  <c:v>6310280</c:v>
                </c:pt>
                <c:pt idx="295">
                  <c:v>6150000</c:v>
                </c:pt>
                <c:pt idx="296">
                  <c:v>6250887</c:v>
                </c:pt>
                <c:pt idx="297">
                  <c:v>6297800</c:v>
                </c:pt>
                <c:pt idx="298">
                  <c:v>6248797</c:v>
                </c:pt>
                <c:pt idx="299">
                  <c:v>6176800</c:v>
                </c:pt>
                <c:pt idx="300">
                  <c:v>6249000</c:v>
                </c:pt>
                <c:pt idx="301">
                  <c:v>6431900</c:v>
                </c:pt>
                <c:pt idx="302">
                  <c:v>6354754</c:v>
                </c:pt>
                <c:pt idx="303">
                  <c:v>6285883</c:v>
                </c:pt>
                <c:pt idx="304">
                  <c:v>6400000</c:v>
                </c:pt>
                <c:pt idx="305">
                  <c:v>6233816</c:v>
                </c:pt>
                <c:pt idx="306">
                  <c:v>6568000</c:v>
                </c:pt>
                <c:pt idx="307">
                  <c:v>6853411</c:v>
                </c:pt>
                <c:pt idx="308">
                  <c:v>6852952</c:v>
                </c:pt>
                <c:pt idx="309">
                  <c:v>6900000</c:v>
                </c:pt>
                <c:pt idx="310">
                  <c:v>6558700</c:v>
                </c:pt>
                <c:pt idx="311">
                  <c:v>6507149</c:v>
                </c:pt>
                <c:pt idx="312">
                  <c:v>6533887</c:v>
                </c:pt>
                <c:pt idx="313">
                  <c:v>6620000</c:v>
                </c:pt>
                <c:pt idx="314">
                  <c:v>6634074</c:v>
                </c:pt>
                <c:pt idx="315">
                  <c:v>6155853</c:v>
                </c:pt>
                <c:pt idx="316">
                  <c:v>6097625</c:v>
                </c:pt>
                <c:pt idx="317">
                  <c:v>6010630</c:v>
                </c:pt>
                <c:pt idx="318">
                  <c:v>5904200</c:v>
                </c:pt>
                <c:pt idx="319">
                  <c:v>5988611</c:v>
                </c:pt>
                <c:pt idx="320">
                  <c:v>6006189</c:v>
                </c:pt>
                <c:pt idx="321">
                  <c:v>5958152</c:v>
                </c:pt>
                <c:pt idx="322">
                  <c:v>5788226</c:v>
                </c:pt>
                <c:pt idx="323">
                  <c:v>5827658</c:v>
                </c:pt>
                <c:pt idx="324">
                  <c:v>5947665</c:v>
                </c:pt>
                <c:pt idx="325">
                  <c:v>5804376</c:v>
                </c:pt>
                <c:pt idx="326">
                  <c:v>5532080</c:v>
                </c:pt>
                <c:pt idx="327">
                  <c:v>5826520</c:v>
                </c:pt>
                <c:pt idx="328">
                  <c:v>5890331</c:v>
                </c:pt>
                <c:pt idx="329">
                  <c:v>5922698</c:v>
                </c:pt>
                <c:pt idx="330">
                  <c:v>5910591</c:v>
                </c:pt>
                <c:pt idx="331">
                  <c:v>5727792</c:v>
                </c:pt>
                <c:pt idx="332">
                  <c:v>5767358</c:v>
                </c:pt>
                <c:pt idx="333">
                  <c:v>5264442</c:v>
                </c:pt>
                <c:pt idx="334">
                  <c:v>4978695</c:v>
                </c:pt>
                <c:pt idx="335">
                  <c:v>5148104</c:v>
                </c:pt>
                <c:pt idx="336">
                  <c:v>5198266</c:v>
                </c:pt>
                <c:pt idx="337">
                  <c:v>5126982</c:v>
                </c:pt>
                <c:pt idx="338">
                  <c:v>5036235</c:v>
                </c:pt>
                <c:pt idx="339">
                  <c:v>4924300</c:v>
                </c:pt>
                <c:pt idx="340">
                  <c:v>4969999</c:v>
                </c:pt>
                <c:pt idx="341">
                  <c:v>5080848</c:v>
                </c:pt>
                <c:pt idx="342">
                  <c:v>4934869</c:v>
                </c:pt>
                <c:pt idx="343">
                  <c:v>4878428</c:v>
                </c:pt>
                <c:pt idx="344">
                  <c:v>4950000</c:v>
                </c:pt>
                <c:pt idx="345">
                  <c:v>4946629</c:v>
                </c:pt>
                <c:pt idx="346">
                  <c:v>4819413</c:v>
                </c:pt>
                <c:pt idx="347">
                  <c:v>4798093</c:v>
                </c:pt>
                <c:pt idx="348">
                  <c:v>4830622</c:v>
                </c:pt>
                <c:pt idx="349">
                  <c:v>4808261</c:v>
                </c:pt>
                <c:pt idx="350">
                  <c:v>4959811</c:v>
                </c:pt>
                <c:pt idx="351">
                  <c:v>4954886</c:v>
                </c:pt>
                <c:pt idx="352">
                  <c:v>5153371</c:v>
                </c:pt>
                <c:pt idx="353">
                  <c:v>5186686</c:v>
                </c:pt>
                <c:pt idx="354">
                  <c:v>5115695</c:v>
                </c:pt>
                <c:pt idx="355">
                  <c:v>5129426</c:v>
                </c:pt>
                <c:pt idx="356">
                  <c:v>5210493</c:v>
                </c:pt>
                <c:pt idx="357">
                  <c:v>4983468</c:v>
                </c:pt>
                <c:pt idx="358">
                  <c:v>4807597</c:v>
                </c:pt>
                <c:pt idx="359">
                  <c:v>4794930</c:v>
                </c:pt>
                <c:pt idx="360">
                  <c:v>4857835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B4-4A37-8DB1-3733595F0C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9425071"/>
        <c:axId val="799421743"/>
      </c:lineChart>
      <c:lineChart>
        <c:grouping val="standard"/>
        <c:varyColors val="0"/>
        <c:ser>
          <c:idx val="1"/>
          <c:order val="1"/>
          <c:tx>
            <c:strRef>
              <c:f>'Exploratory Data Analysis'!$D$19:$D$20</c:f>
              <c:strCache>
                <c:ptCount val="1"/>
                <c:pt idx="0">
                  <c:v>SP500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'Exploratory Data Analysis'!$B$21:$B$382</c:f>
              <c:strCache>
                <c:ptCount val="361"/>
                <c:pt idx="0">
                  <c:v>04/Jan</c:v>
                </c:pt>
                <c:pt idx="1">
                  <c:v>05/Jan</c:v>
                </c:pt>
                <c:pt idx="2">
                  <c:v>06/Jan</c:v>
                </c:pt>
                <c:pt idx="3">
                  <c:v>07/Jan</c:v>
                </c:pt>
                <c:pt idx="4">
                  <c:v>08/Jan</c:v>
                </c:pt>
                <c:pt idx="5">
                  <c:v>09/Jan</c:v>
                </c:pt>
                <c:pt idx="6">
                  <c:v>10/Jan</c:v>
                </c:pt>
                <c:pt idx="7">
                  <c:v>11/Jan</c:v>
                </c:pt>
                <c:pt idx="8">
                  <c:v>12/Jan</c:v>
                </c:pt>
                <c:pt idx="9">
                  <c:v>13/Jan</c:v>
                </c:pt>
                <c:pt idx="10">
                  <c:v>14/Jan</c:v>
                </c:pt>
                <c:pt idx="11">
                  <c:v>15/Jan</c:v>
                </c:pt>
                <c:pt idx="12">
                  <c:v>16/Jan</c:v>
                </c:pt>
                <c:pt idx="13">
                  <c:v>17/Jan</c:v>
                </c:pt>
                <c:pt idx="14">
                  <c:v>18/Jan</c:v>
                </c:pt>
                <c:pt idx="15">
                  <c:v>19/Jan</c:v>
                </c:pt>
                <c:pt idx="16">
                  <c:v>20/Jan</c:v>
                </c:pt>
                <c:pt idx="17">
                  <c:v>21/Jan</c:v>
                </c:pt>
                <c:pt idx="18">
                  <c:v>22/Jan</c:v>
                </c:pt>
                <c:pt idx="19">
                  <c:v>23/Jan</c:v>
                </c:pt>
                <c:pt idx="20">
                  <c:v>24/Jan</c:v>
                </c:pt>
                <c:pt idx="21">
                  <c:v>25/Jan</c:v>
                </c:pt>
                <c:pt idx="22">
                  <c:v>26/Jan</c:v>
                </c:pt>
                <c:pt idx="23">
                  <c:v>27/Jan</c:v>
                </c:pt>
                <c:pt idx="24">
                  <c:v>28/Jan</c:v>
                </c:pt>
                <c:pt idx="25">
                  <c:v>29/Jan</c:v>
                </c:pt>
                <c:pt idx="26">
                  <c:v>30/Jan</c:v>
                </c:pt>
                <c:pt idx="27">
                  <c:v>31/Jan</c:v>
                </c:pt>
                <c:pt idx="28">
                  <c:v>01/Feb</c:v>
                </c:pt>
                <c:pt idx="29">
                  <c:v>02/Feb</c:v>
                </c:pt>
                <c:pt idx="30">
                  <c:v>03/Feb</c:v>
                </c:pt>
                <c:pt idx="31">
                  <c:v>04/Feb</c:v>
                </c:pt>
                <c:pt idx="32">
                  <c:v>05/Feb</c:v>
                </c:pt>
                <c:pt idx="33">
                  <c:v>06/Feb</c:v>
                </c:pt>
                <c:pt idx="34">
                  <c:v>07/Feb</c:v>
                </c:pt>
                <c:pt idx="35">
                  <c:v>08/Feb</c:v>
                </c:pt>
                <c:pt idx="36">
                  <c:v>09/Feb</c:v>
                </c:pt>
                <c:pt idx="37">
                  <c:v>10/Feb</c:v>
                </c:pt>
                <c:pt idx="38">
                  <c:v>11/Feb</c:v>
                </c:pt>
                <c:pt idx="39">
                  <c:v>12/Feb</c:v>
                </c:pt>
                <c:pt idx="40">
                  <c:v>13/Feb</c:v>
                </c:pt>
                <c:pt idx="41">
                  <c:v>14/Feb</c:v>
                </c:pt>
                <c:pt idx="42">
                  <c:v>15/Feb</c:v>
                </c:pt>
                <c:pt idx="43">
                  <c:v>16/Feb</c:v>
                </c:pt>
                <c:pt idx="44">
                  <c:v>17/Feb</c:v>
                </c:pt>
                <c:pt idx="45">
                  <c:v>18/Feb</c:v>
                </c:pt>
                <c:pt idx="46">
                  <c:v>19/Feb</c:v>
                </c:pt>
                <c:pt idx="47">
                  <c:v>20/Feb</c:v>
                </c:pt>
                <c:pt idx="48">
                  <c:v>21/Feb</c:v>
                </c:pt>
                <c:pt idx="49">
                  <c:v>22/Feb</c:v>
                </c:pt>
                <c:pt idx="50">
                  <c:v>23/Feb</c:v>
                </c:pt>
                <c:pt idx="51">
                  <c:v>24/Feb</c:v>
                </c:pt>
                <c:pt idx="52">
                  <c:v>25/Feb</c:v>
                </c:pt>
                <c:pt idx="53">
                  <c:v>26/Feb</c:v>
                </c:pt>
                <c:pt idx="54">
                  <c:v>27/Feb</c:v>
                </c:pt>
                <c:pt idx="55">
                  <c:v>28/Feb</c:v>
                </c:pt>
                <c:pt idx="56">
                  <c:v>01/Mar</c:v>
                </c:pt>
                <c:pt idx="57">
                  <c:v>02/Mar</c:v>
                </c:pt>
                <c:pt idx="58">
                  <c:v>03/Mar</c:v>
                </c:pt>
                <c:pt idx="59">
                  <c:v>04/Mar</c:v>
                </c:pt>
                <c:pt idx="60">
                  <c:v>05/Mar</c:v>
                </c:pt>
                <c:pt idx="61">
                  <c:v>06/Mar</c:v>
                </c:pt>
                <c:pt idx="62">
                  <c:v>07/Mar</c:v>
                </c:pt>
                <c:pt idx="63">
                  <c:v>08/Mar</c:v>
                </c:pt>
                <c:pt idx="64">
                  <c:v>09/Mar</c:v>
                </c:pt>
                <c:pt idx="65">
                  <c:v>10/Mar</c:v>
                </c:pt>
                <c:pt idx="66">
                  <c:v>11/Mar</c:v>
                </c:pt>
                <c:pt idx="67">
                  <c:v>12/Mar</c:v>
                </c:pt>
                <c:pt idx="68">
                  <c:v>13/Mar</c:v>
                </c:pt>
                <c:pt idx="69">
                  <c:v>14/Mar</c:v>
                </c:pt>
                <c:pt idx="70">
                  <c:v>15/Mar</c:v>
                </c:pt>
                <c:pt idx="71">
                  <c:v>16/Mar</c:v>
                </c:pt>
                <c:pt idx="72">
                  <c:v>17/Mar</c:v>
                </c:pt>
                <c:pt idx="73">
                  <c:v>18/Mar</c:v>
                </c:pt>
                <c:pt idx="74">
                  <c:v>19/Mar</c:v>
                </c:pt>
                <c:pt idx="75">
                  <c:v>20/Mar</c:v>
                </c:pt>
                <c:pt idx="76">
                  <c:v>21/Mar</c:v>
                </c:pt>
                <c:pt idx="77">
                  <c:v>22/Mar</c:v>
                </c:pt>
                <c:pt idx="78">
                  <c:v>23/Mar</c:v>
                </c:pt>
                <c:pt idx="79">
                  <c:v>24/Mar</c:v>
                </c:pt>
                <c:pt idx="80">
                  <c:v>25/Mar</c:v>
                </c:pt>
                <c:pt idx="81">
                  <c:v>26/Mar</c:v>
                </c:pt>
                <c:pt idx="82">
                  <c:v>27/Mar</c:v>
                </c:pt>
                <c:pt idx="83">
                  <c:v>28/Mar</c:v>
                </c:pt>
                <c:pt idx="84">
                  <c:v>29/Mar</c:v>
                </c:pt>
                <c:pt idx="85">
                  <c:v>30/Mar</c:v>
                </c:pt>
                <c:pt idx="86">
                  <c:v>31/Mar</c:v>
                </c:pt>
                <c:pt idx="87">
                  <c:v>01/Apr</c:v>
                </c:pt>
                <c:pt idx="88">
                  <c:v>02/Apr</c:v>
                </c:pt>
                <c:pt idx="89">
                  <c:v>03/Apr</c:v>
                </c:pt>
                <c:pt idx="90">
                  <c:v>04/Apr</c:v>
                </c:pt>
                <c:pt idx="91">
                  <c:v>05/Apr</c:v>
                </c:pt>
                <c:pt idx="92">
                  <c:v>06/Apr</c:v>
                </c:pt>
                <c:pt idx="93">
                  <c:v>07/Apr</c:v>
                </c:pt>
                <c:pt idx="94">
                  <c:v>08/Apr</c:v>
                </c:pt>
                <c:pt idx="95">
                  <c:v>09/Apr</c:v>
                </c:pt>
                <c:pt idx="96">
                  <c:v>10/Apr</c:v>
                </c:pt>
                <c:pt idx="97">
                  <c:v>11/Apr</c:v>
                </c:pt>
                <c:pt idx="98">
                  <c:v>12/Apr</c:v>
                </c:pt>
                <c:pt idx="99">
                  <c:v>13/Apr</c:v>
                </c:pt>
                <c:pt idx="100">
                  <c:v>14/Apr</c:v>
                </c:pt>
                <c:pt idx="101">
                  <c:v>15/Apr</c:v>
                </c:pt>
                <c:pt idx="102">
                  <c:v>16/Apr</c:v>
                </c:pt>
                <c:pt idx="103">
                  <c:v>17/Apr</c:v>
                </c:pt>
                <c:pt idx="104">
                  <c:v>18/Apr</c:v>
                </c:pt>
                <c:pt idx="105">
                  <c:v>19/Apr</c:v>
                </c:pt>
                <c:pt idx="106">
                  <c:v>20/Apr</c:v>
                </c:pt>
                <c:pt idx="107">
                  <c:v>21/Apr</c:v>
                </c:pt>
                <c:pt idx="108">
                  <c:v>22/Apr</c:v>
                </c:pt>
                <c:pt idx="109">
                  <c:v>23/Apr</c:v>
                </c:pt>
                <c:pt idx="110">
                  <c:v>24/Apr</c:v>
                </c:pt>
                <c:pt idx="111">
                  <c:v>25/Apr</c:v>
                </c:pt>
                <c:pt idx="112">
                  <c:v>26/Apr</c:v>
                </c:pt>
                <c:pt idx="113">
                  <c:v>27/Apr</c:v>
                </c:pt>
                <c:pt idx="114">
                  <c:v>28/Apr</c:v>
                </c:pt>
                <c:pt idx="115">
                  <c:v>29/Apr</c:v>
                </c:pt>
                <c:pt idx="116">
                  <c:v>30/Apr</c:v>
                </c:pt>
                <c:pt idx="117">
                  <c:v>02/May</c:v>
                </c:pt>
                <c:pt idx="118">
                  <c:v>03/May</c:v>
                </c:pt>
                <c:pt idx="119">
                  <c:v>04/May</c:v>
                </c:pt>
                <c:pt idx="120">
                  <c:v>05/May</c:v>
                </c:pt>
                <c:pt idx="121">
                  <c:v>06/May</c:v>
                </c:pt>
                <c:pt idx="122">
                  <c:v>07/May</c:v>
                </c:pt>
                <c:pt idx="123">
                  <c:v>08/May</c:v>
                </c:pt>
                <c:pt idx="124">
                  <c:v>09/May</c:v>
                </c:pt>
                <c:pt idx="125">
                  <c:v>10/May</c:v>
                </c:pt>
                <c:pt idx="126">
                  <c:v>11/May</c:v>
                </c:pt>
                <c:pt idx="127">
                  <c:v>12/May</c:v>
                </c:pt>
                <c:pt idx="128">
                  <c:v>13/May</c:v>
                </c:pt>
                <c:pt idx="129">
                  <c:v>14/May</c:v>
                </c:pt>
                <c:pt idx="130">
                  <c:v>15/May</c:v>
                </c:pt>
                <c:pt idx="131">
                  <c:v>16/May</c:v>
                </c:pt>
                <c:pt idx="132">
                  <c:v>17/May</c:v>
                </c:pt>
                <c:pt idx="133">
                  <c:v>18/May</c:v>
                </c:pt>
                <c:pt idx="134">
                  <c:v>19/May</c:v>
                </c:pt>
                <c:pt idx="135">
                  <c:v>20/May</c:v>
                </c:pt>
                <c:pt idx="136">
                  <c:v>21/May</c:v>
                </c:pt>
                <c:pt idx="137">
                  <c:v>22/May</c:v>
                </c:pt>
                <c:pt idx="138">
                  <c:v>23/May</c:v>
                </c:pt>
                <c:pt idx="139">
                  <c:v>24/May</c:v>
                </c:pt>
                <c:pt idx="140">
                  <c:v>25/May</c:v>
                </c:pt>
                <c:pt idx="141">
                  <c:v>26/May</c:v>
                </c:pt>
                <c:pt idx="142">
                  <c:v>27/May</c:v>
                </c:pt>
                <c:pt idx="143">
                  <c:v>28/May</c:v>
                </c:pt>
                <c:pt idx="144">
                  <c:v>29/May</c:v>
                </c:pt>
                <c:pt idx="145">
                  <c:v>30/May</c:v>
                </c:pt>
                <c:pt idx="146">
                  <c:v>31/May</c:v>
                </c:pt>
                <c:pt idx="147">
                  <c:v>01/Jun</c:v>
                </c:pt>
                <c:pt idx="148">
                  <c:v>02/Jun</c:v>
                </c:pt>
                <c:pt idx="149">
                  <c:v>03/Jun</c:v>
                </c:pt>
                <c:pt idx="150">
                  <c:v>04/Jun</c:v>
                </c:pt>
                <c:pt idx="151">
                  <c:v>05/Jun</c:v>
                </c:pt>
                <c:pt idx="152">
                  <c:v>06/Jun</c:v>
                </c:pt>
                <c:pt idx="153">
                  <c:v>07/Jun</c:v>
                </c:pt>
                <c:pt idx="154">
                  <c:v>08/Jun</c:v>
                </c:pt>
                <c:pt idx="155">
                  <c:v>09/Jun</c:v>
                </c:pt>
                <c:pt idx="156">
                  <c:v>10/Jun</c:v>
                </c:pt>
                <c:pt idx="157">
                  <c:v>11/Jun</c:v>
                </c:pt>
                <c:pt idx="158">
                  <c:v>12/Jun</c:v>
                </c:pt>
                <c:pt idx="159">
                  <c:v>13/Jun</c:v>
                </c:pt>
                <c:pt idx="160">
                  <c:v>14/Jun</c:v>
                </c:pt>
                <c:pt idx="161">
                  <c:v>15/Jun</c:v>
                </c:pt>
                <c:pt idx="162">
                  <c:v>16/Jun</c:v>
                </c:pt>
                <c:pt idx="163">
                  <c:v>17/Jun</c:v>
                </c:pt>
                <c:pt idx="164">
                  <c:v>18/Jun</c:v>
                </c:pt>
                <c:pt idx="165">
                  <c:v>19/Jun</c:v>
                </c:pt>
                <c:pt idx="166">
                  <c:v>20/Jun</c:v>
                </c:pt>
                <c:pt idx="167">
                  <c:v>21/Jun</c:v>
                </c:pt>
                <c:pt idx="168">
                  <c:v>22/Jun</c:v>
                </c:pt>
                <c:pt idx="169">
                  <c:v>23/Jun</c:v>
                </c:pt>
                <c:pt idx="170">
                  <c:v>24/Jun</c:v>
                </c:pt>
                <c:pt idx="171">
                  <c:v>25/Jun</c:v>
                </c:pt>
                <c:pt idx="172">
                  <c:v>26/Jun</c:v>
                </c:pt>
                <c:pt idx="173">
                  <c:v>27/Jun</c:v>
                </c:pt>
                <c:pt idx="174">
                  <c:v>28/Jun</c:v>
                </c:pt>
                <c:pt idx="175">
                  <c:v>29/Jun</c:v>
                </c:pt>
                <c:pt idx="176">
                  <c:v>30/Jun</c:v>
                </c:pt>
                <c:pt idx="177">
                  <c:v>01/Jul</c:v>
                </c:pt>
                <c:pt idx="178">
                  <c:v>02/Jul</c:v>
                </c:pt>
                <c:pt idx="179">
                  <c:v>03/Jul</c:v>
                </c:pt>
                <c:pt idx="180">
                  <c:v>04/Jul</c:v>
                </c:pt>
                <c:pt idx="181">
                  <c:v>05/Jul</c:v>
                </c:pt>
                <c:pt idx="182">
                  <c:v>06/Jul</c:v>
                </c:pt>
                <c:pt idx="183">
                  <c:v>07/Jul</c:v>
                </c:pt>
                <c:pt idx="184">
                  <c:v>08/Jul</c:v>
                </c:pt>
                <c:pt idx="185">
                  <c:v>09/Jul</c:v>
                </c:pt>
                <c:pt idx="186">
                  <c:v>10/Jul</c:v>
                </c:pt>
                <c:pt idx="187">
                  <c:v>11/Jul</c:v>
                </c:pt>
                <c:pt idx="188">
                  <c:v>12/Jul</c:v>
                </c:pt>
                <c:pt idx="189">
                  <c:v>13/Jul</c:v>
                </c:pt>
                <c:pt idx="190">
                  <c:v>14/Jul</c:v>
                </c:pt>
                <c:pt idx="191">
                  <c:v>15/Jul</c:v>
                </c:pt>
                <c:pt idx="192">
                  <c:v>16/Jul</c:v>
                </c:pt>
                <c:pt idx="193">
                  <c:v>17/Jul</c:v>
                </c:pt>
                <c:pt idx="194">
                  <c:v>18/Jul</c:v>
                </c:pt>
                <c:pt idx="195">
                  <c:v>19/Jul</c:v>
                </c:pt>
                <c:pt idx="196">
                  <c:v>20/Jul</c:v>
                </c:pt>
                <c:pt idx="197">
                  <c:v>21/Jul</c:v>
                </c:pt>
                <c:pt idx="198">
                  <c:v>22/Jul</c:v>
                </c:pt>
                <c:pt idx="199">
                  <c:v>23/Jul</c:v>
                </c:pt>
                <c:pt idx="200">
                  <c:v>24/Jul</c:v>
                </c:pt>
                <c:pt idx="201">
                  <c:v>25/Jul</c:v>
                </c:pt>
                <c:pt idx="202">
                  <c:v>26/Jul</c:v>
                </c:pt>
                <c:pt idx="203">
                  <c:v>27/Jul</c:v>
                </c:pt>
                <c:pt idx="204">
                  <c:v>28/Jul</c:v>
                </c:pt>
                <c:pt idx="205">
                  <c:v>29/Jul</c:v>
                </c:pt>
                <c:pt idx="206">
                  <c:v>30/Jul</c:v>
                </c:pt>
                <c:pt idx="207">
                  <c:v>31/Jul</c:v>
                </c:pt>
                <c:pt idx="208">
                  <c:v>01/Aug</c:v>
                </c:pt>
                <c:pt idx="209">
                  <c:v>02/Aug</c:v>
                </c:pt>
                <c:pt idx="210">
                  <c:v>03/Aug</c:v>
                </c:pt>
                <c:pt idx="211">
                  <c:v>04/Aug</c:v>
                </c:pt>
                <c:pt idx="212">
                  <c:v>05/Aug</c:v>
                </c:pt>
                <c:pt idx="213">
                  <c:v>06/Aug</c:v>
                </c:pt>
                <c:pt idx="214">
                  <c:v>07/Aug</c:v>
                </c:pt>
                <c:pt idx="215">
                  <c:v>08/Aug</c:v>
                </c:pt>
                <c:pt idx="216">
                  <c:v>09/Aug</c:v>
                </c:pt>
                <c:pt idx="217">
                  <c:v>10/Aug</c:v>
                </c:pt>
                <c:pt idx="218">
                  <c:v>11/Aug</c:v>
                </c:pt>
                <c:pt idx="219">
                  <c:v>12/Aug</c:v>
                </c:pt>
                <c:pt idx="220">
                  <c:v>13/Aug</c:v>
                </c:pt>
                <c:pt idx="221">
                  <c:v>14/Aug</c:v>
                </c:pt>
                <c:pt idx="222">
                  <c:v>15/Aug</c:v>
                </c:pt>
                <c:pt idx="223">
                  <c:v>16/Aug</c:v>
                </c:pt>
                <c:pt idx="224">
                  <c:v>17/Aug</c:v>
                </c:pt>
                <c:pt idx="225">
                  <c:v>18/Aug</c:v>
                </c:pt>
                <c:pt idx="226">
                  <c:v>19/Aug</c:v>
                </c:pt>
                <c:pt idx="227">
                  <c:v>20/Aug</c:v>
                </c:pt>
                <c:pt idx="228">
                  <c:v>21/Aug</c:v>
                </c:pt>
                <c:pt idx="229">
                  <c:v>22/Aug</c:v>
                </c:pt>
                <c:pt idx="230">
                  <c:v>23/Aug</c:v>
                </c:pt>
                <c:pt idx="231">
                  <c:v>24/Aug</c:v>
                </c:pt>
                <c:pt idx="232">
                  <c:v>25/Aug</c:v>
                </c:pt>
                <c:pt idx="233">
                  <c:v>26/Aug</c:v>
                </c:pt>
                <c:pt idx="234">
                  <c:v>27/Aug</c:v>
                </c:pt>
                <c:pt idx="235">
                  <c:v>28/Aug</c:v>
                </c:pt>
                <c:pt idx="236">
                  <c:v>29/Aug</c:v>
                </c:pt>
                <c:pt idx="237">
                  <c:v>30/Aug</c:v>
                </c:pt>
                <c:pt idx="238">
                  <c:v>31/Aug</c:v>
                </c:pt>
                <c:pt idx="239">
                  <c:v>01/Sep</c:v>
                </c:pt>
                <c:pt idx="240">
                  <c:v>02/Sep</c:v>
                </c:pt>
                <c:pt idx="241">
                  <c:v>03/Sep</c:v>
                </c:pt>
                <c:pt idx="242">
                  <c:v>04/Sep</c:v>
                </c:pt>
                <c:pt idx="243">
                  <c:v>05/Sep</c:v>
                </c:pt>
                <c:pt idx="244">
                  <c:v>06/Sep</c:v>
                </c:pt>
                <c:pt idx="245">
                  <c:v>07/Sep</c:v>
                </c:pt>
                <c:pt idx="246">
                  <c:v>08/Sep</c:v>
                </c:pt>
                <c:pt idx="247">
                  <c:v>09/Sep</c:v>
                </c:pt>
                <c:pt idx="248">
                  <c:v>10/Sep</c:v>
                </c:pt>
                <c:pt idx="249">
                  <c:v>11/Sep</c:v>
                </c:pt>
                <c:pt idx="250">
                  <c:v>12/Sep</c:v>
                </c:pt>
                <c:pt idx="251">
                  <c:v>13/Sep</c:v>
                </c:pt>
                <c:pt idx="252">
                  <c:v>14/Sep</c:v>
                </c:pt>
                <c:pt idx="253">
                  <c:v>15/Sep</c:v>
                </c:pt>
                <c:pt idx="254">
                  <c:v>16/Sep</c:v>
                </c:pt>
                <c:pt idx="255">
                  <c:v>17/Sep</c:v>
                </c:pt>
                <c:pt idx="256">
                  <c:v>18/Sep</c:v>
                </c:pt>
                <c:pt idx="257">
                  <c:v>19/Sep</c:v>
                </c:pt>
                <c:pt idx="258">
                  <c:v>20/Sep</c:v>
                </c:pt>
                <c:pt idx="259">
                  <c:v>21/Sep</c:v>
                </c:pt>
                <c:pt idx="260">
                  <c:v>22/Sep</c:v>
                </c:pt>
                <c:pt idx="261">
                  <c:v>23/Sep</c:v>
                </c:pt>
                <c:pt idx="262">
                  <c:v>24/Sep</c:v>
                </c:pt>
                <c:pt idx="263">
                  <c:v>25/Sep</c:v>
                </c:pt>
                <c:pt idx="264">
                  <c:v>26/Sep</c:v>
                </c:pt>
                <c:pt idx="265">
                  <c:v>27/Sep</c:v>
                </c:pt>
                <c:pt idx="266">
                  <c:v>28/Sep</c:v>
                </c:pt>
                <c:pt idx="267">
                  <c:v>29/Sep</c:v>
                </c:pt>
                <c:pt idx="268">
                  <c:v>30/Sep</c:v>
                </c:pt>
                <c:pt idx="269">
                  <c:v>01/Oct</c:v>
                </c:pt>
                <c:pt idx="270">
                  <c:v>02/Oct</c:v>
                </c:pt>
                <c:pt idx="271">
                  <c:v>03/Oct</c:v>
                </c:pt>
                <c:pt idx="272">
                  <c:v>04/Oct</c:v>
                </c:pt>
                <c:pt idx="273">
                  <c:v>05/Oct</c:v>
                </c:pt>
                <c:pt idx="274">
                  <c:v>06/Oct</c:v>
                </c:pt>
                <c:pt idx="275">
                  <c:v>07/Oct</c:v>
                </c:pt>
                <c:pt idx="276">
                  <c:v>08/Oct</c:v>
                </c:pt>
                <c:pt idx="277">
                  <c:v>09/Oct</c:v>
                </c:pt>
                <c:pt idx="278">
                  <c:v>10/Oct</c:v>
                </c:pt>
                <c:pt idx="279">
                  <c:v>11/Oct</c:v>
                </c:pt>
                <c:pt idx="280">
                  <c:v>12/Oct</c:v>
                </c:pt>
                <c:pt idx="281">
                  <c:v>13/Oct</c:v>
                </c:pt>
                <c:pt idx="282">
                  <c:v>14/Oct</c:v>
                </c:pt>
                <c:pt idx="283">
                  <c:v>15/Oct</c:v>
                </c:pt>
                <c:pt idx="284">
                  <c:v>16/Oct</c:v>
                </c:pt>
                <c:pt idx="285">
                  <c:v>17/Oct</c:v>
                </c:pt>
                <c:pt idx="286">
                  <c:v>18/Oct</c:v>
                </c:pt>
                <c:pt idx="287">
                  <c:v>19/Oct</c:v>
                </c:pt>
                <c:pt idx="288">
                  <c:v>20/Oct</c:v>
                </c:pt>
                <c:pt idx="289">
                  <c:v>21/Oct</c:v>
                </c:pt>
                <c:pt idx="290">
                  <c:v>22/Oct</c:v>
                </c:pt>
                <c:pt idx="291">
                  <c:v>23/Oct</c:v>
                </c:pt>
                <c:pt idx="292">
                  <c:v>24/Oct</c:v>
                </c:pt>
                <c:pt idx="293">
                  <c:v>25/Oct</c:v>
                </c:pt>
                <c:pt idx="294">
                  <c:v>26/Oct</c:v>
                </c:pt>
                <c:pt idx="295">
                  <c:v>27/Oct</c:v>
                </c:pt>
                <c:pt idx="296">
                  <c:v>28/Oct</c:v>
                </c:pt>
                <c:pt idx="297">
                  <c:v>29/Oct</c:v>
                </c:pt>
                <c:pt idx="298">
                  <c:v>30/Oct</c:v>
                </c:pt>
                <c:pt idx="299">
                  <c:v>31/Oct</c:v>
                </c:pt>
                <c:pt idx="300">
                  <c:v>01/Nov</c:v>
                </c:pt>
                <c:pt idx="301">
                  <c:v>02/Nov</c:v>
                </c:pt>
                <c:pt idx="302">
                  <c:v>03/Nov</c:v>
                </c:pt>
                <c:pt idx="303">
                  <c:v>04/Nov</c:v>
                </c:pt>
                <c:pt idx="304">
                  <c:v>05/Nov</c:v>
                </c:pt>
                <c:pt idx="305">
                  <c:v>06/Nov</c:v>
                </c:pt>
                <c:pt idx="306">
                  <c:v>07/Nov</c:v>
                </c:pt>
                <c:pt idx="307">
                  <c:v>08/Nov</c:v>
                </c:pt>
                <c:pt idx="308">
                  <c:v>09/Nov</c:v>
                </c:pt>
                <c:pt idx="309">
                  <c:v>10/Nov</c:v>
                </c:pt>
                <c:pt idx="310">
                  <c:v>11/Nov</c:v>
                </c:pt>
                <c:pt idx="311">
                  <c:v>12/Nov</c:v>
                </c:pt>
                <c:pt idx="312">
                  <c:v>13/Nov</c:v>
                </c:pt>
                <c:pt idx="313">
                  <c:v>14/Nov</c:v>
                </c:pt>
                <c:pt idx="314">
                  <c:v>15/Nov</c:v>
                </c:pt>
                <c:pt idx="315">
                  <c:v>16/Nov</c:v>
                </c:pt>
                <c:pt idx="316">
                  <c:v>17/Nov</c:v>
                </c:pt>
                <c:pt idx="317">
                  <c:v>18/Nov</c:v>
                </c:pt>
                <c:pt idx="318">
                  <c:v>19/Nov</c:v>
                </c:pt>
                <c:pt idx="319">
                  <c:v>20/Nov</c:v>
                </c:pt>
                <c:pt idx="320">
                  <c:v>21/Nov</c:v>
                </c:pt>
                <c:pt idx="321">
                  <c:v>22/Nov</c:v>
                </c:pt>
                <c:pt idx="322">
                  <c:v>23/Nov</c:v>
                </c:pt>
                <c:pt idx="323">
                  <c:v>24/Nov</c:v>
                </c:pt>
                <c:pt idx="324">
                  <c:v>25/Nov</c:v>
                </c:pt>
                <c:pt idx="325">
                  <c:v>26/Nov</c:v>
                </c:pt>
                <c:pt idx="326">
                  <c:v>27/Nov</c:v>
                </c:pt>
                <c:pt idx="327">
                  <c:v>28/Nov</c:v>
                </c:pt>
                <c:pt idx="328">
                  <c:v>29/Nov</c:v>
                </c:pt>
                <c:pt idx="329">
                  <c:v>30/Nov</c:v>
                </c:pt>
                <c:pt idx="330">
                  <c:v>01/Dec</c:v>
                </c:pt>
                <c:pt idx="331">
                  <c:v>02/Dec</c:v>
                </c:pt>
                <c:pt idx="332">
                  <c:v>03/Dec</c:v>
                </c:pt>
                <c:pt idx="333">
                  <c:v>04/Dec</c:v>
                </c:pt>
                <c:pt idx="334">
                  <c:v>05/Dec</c:v>
                </c:pt>
                <c:pt idx="335">
                  <c:v>06/Dec</c:v>
                </c:pt>
                <c:pt idx="336">
                  <c:v>07/Dec</c:v>
                </c:pt>
                <c:pt idx="337">
                  <c:v>08/Dec</c:v>
                </c:pt>
                <c:pt idx="338">
                  <c:v>09/Dec</c:v>
                </c:pt>
                <c:pt idx="339">
                  <c:v>10/Dec</c:v>
                </c:pt>
                <c:pt idx="340">
                  <c:v>11/Dec</c:v>
                </c:pt>
                <c:pt idx="341">
                  <c:v>12/Dec</c:v>
                </c:pt>
                <c:pt idx="342">
                  <c:v>13/Dec</c:v>
                </c:pt>
                <c:pt idx="343">
                  <c:v>14/Dec</c:v>
                </c:pt>
                <c:pt idx="344">
                  <c:v>15/Dec</c:v>
                </c:pt>
                <c:pt idx="345">
                  <c:v>16/Dec</c:v>
                </c:pt>
                <c:pt idx="346">
                  <c:v>17/Dec</c:v>
                </c:pt>
                <c:pt idx="347">
                  <c:v>18/Dec</c:v>
                </c:pt>
                <c:pt idx="348">
                  <c:v>19/Dec</c:v>
                </c:pt>
                <c:pt idx="349">
                  <c:v>20/Dec</c:v>
                </c:pt>
                <c:pt idx="350">
                  <c:v>21/Dec</c:v>
                </c:pt>
                <c:pt idx="351">
                  <c:v>22/Dec</c:v>
                </c:pt>
                <c:pt idx="352">
                  <c:v>23/Dec</c:v>
                </c:pt>
                <c:pt idx="353">
                  <c:v>24/Dec</c:v>
                </c:pt>
                <c:pt idx="354">
                  <c:v>25/Dec</c:v>
                </c:pt>
                <c:pt idx="355">
                  <c:v>26/Dec</c:v>
                </c:pt>
                <c:pt idx="356">
                  <c:v>27/Dec</c:v>
                </c:pt>
                <c:pt idx="357">
                  <c:v>28/Dec</c:v>
                </c:pt>
                <c:pt idx="358">
                  <c:v>29/Dec</c:v>
                </c:pt>
                <c:pt idx="359">
                  <c:v>30/Dec</c:v>
                </c:pt>
                <c:pt idx="360">
                  <c:v>31/Dec</c:v>
                </c:pt>
              </c:strCache>
            </c:strRef>
          </c:cat>
          <c:val>
            <c:numRef>
              <c:f>'Exploratory Data Analysis'!$D$21:$D$382</c:f>
              <c:numCache>
                <c:formatCode>#,##0</c:formatCode>
                <c:ptCount val="361"/>
                <c:pt idx="0">
                  <c:v>376999</c:v>
                </c:pt>
                <c:pt idx="1">
                  <c:v>373783</c:v>
                </c:pt>
                <c:pt idx="2">
                  <c:v>378304</c:v>
                </c:pt>
                <c:pt idx="3">
                  <c:v>381155</c:v>
                </c:pt>
                <c:pt idx="4">
                  <c:v>382669</c:v>
                </c:pt>
                <c:pt idx="7">
                  <c:v>381786</c:v>
                </c:pt>
                <c:pt idx="8">
                  <c:v>381078</c:v>
                </c:pt>
                <c:pt idx="9">
                  <c:v>382096</c:v>
                </c:pt>
                <c:pt idx="10">
                  <c:v>382360</c:v>
                </c:pt>
                <c:pt idx="11">
                  <c:v>378873</c:v>
                </c:pt>
                <c:pt idx="15">
                  <c:v>380453</c:v>
                </c:pt>
                <c:pt idx="16">
                  <c:v>385975</c:v>
                </c:pt>
                <c:pt idx="17">
                  <c:v>386145</c:v>
                </c:pt>
                <c:pt idx="18">
                  <c:v>385231</c:v>
                </c:pt>
                <c:pt idx="21">
                  <c:v>385923</c:v>
                </c:pt>
                <c:pt idx="22">
                  <c:v>387090</c:v>
                </c:pt>
                <c:pt idx="23">
                  <c:v>383683</c:v>
                </c:pt>
                <c:pt idx="24">
                  <c:v>383050</c:v>
                </c:pt>
                <c:pt idx="25">
                  <c:v>377805</c:v>
                </c:pt>
                <c:pt idx="28">
                  <c:v>378432</c:v>
                </c:pt>
                <c:pt idx="29">
                  <c:v>384309</c:v>
                </c:pt>
                <c:pt idx="30">
                  <c:v>384751</c:v>
                </c:pt>
                <c:pt idx="31">
                  <c:v>387242</c:v>
                </c:pt>
                <c:pt idx="32">
                  <c:v>389456</c:v>
                </c:pt>
                <c:pt idx="35">
                  <c:v>391577</c:v>
                </c:pt>
                <c:pt idx="36">
                  <c:v>391835</c:v>
                </c:pt>
                <c:pt idx="37">
                  <c:v>393150</c:v>
                </c:pt>
                <c:pt idx="38">
                  <c:v>392599</c:v>
                </c:pt>
                <c:pt idx="39">
                  <c:v>393723</c:v>
                </c:pt>
                <c:pt idx="43">
                  <c:v>395043</c:v>
                </c:pt>
                <c:pt idx="44">
                  <c:v>393361</c:v>
                </c:pt>
                <c:pt idx="45">
                  <c:v>392198</c:v>
                </c:pt>
                <c:pt idx="46">
                  <c:v>393041</c:v>
                </c:pt>
                <c:pt idx="49">
                  <c:v>390292</c:v>
                </c:pt>
                <c:pt idx="50">
                  <c:v>389598</c:v>
                </c:pt>
                <c:pt idx="51">
                  <c:v>392865</c:v>
                </c:pt>
                <c:pt idx="52">
                  <c:v>392502</c:v>
                </c:pt>
                <c:pt idx="53">
                  <c:v>386108</c:v>
                </c:pt>
                <c:pt idx="56">
                  <c:v>391450</c:v>
                </c:pt>
                <c:pt idx="57">
                  <c:v>390641</c:v>
                </c:pt>
                <c:pt idx="58">
                  <c:v>387447</c:v>
                </c:pt>
                <c:pt idx="59">
                  <c:v>384367</c:v>
                </c:pt>
                <c:pt idx="60">
                  <c:v>385169</c:v>
                </c:pt>
                <c:pt idx="63">
                  <c:v>388106</c:v>
                </c:pt>
                <c:pt idx="64">
                  <c:v>390376</c:v>
                </c:pt>
                <c:pt idx="65">
                  <c:v>391735</c:v>
                </c:pt>
                <c:pt idx="66">
                  <c:v>396027</c:v>
                </c:pt>
                <c:pt idx="67">
                  <c:v>394499</c:v>
                </c:pt>
                <c:pt idx="70">
                  <c:v>397008</c:v>
                </c:pt>
                <c:pt idx="71">
                  <c:v>398104</c:v>
                </c:pt>
                <c:pt idx="72">
                  <c:v>398387</c:v>
                </c:pt>
                <c:pt idx="73">
                  <c:v>396962</c:v>
                </c:pt>
                <c:pt idx="74">
                  <c:v>393012</c:v>
                </c:pt>
                <c:pt idx="77">
                  <c:v>395531</c:v>
                </c:pt>
                <c:pt idx="78">
                  <c:v>394913</c:v>
                </c:pt>
                <c:pt idx="79">
                  <c:v>394208</c:v>
                </c:pt>
                <c:pt idx="80">
                  <c:v>391954</c:v>
                </c:pt>
                <c:pt idx="81">
                  <c:v>397819</c:v>
                </c:pt>
                <c:pt idx="84">
                  <c:v>398183</c:v>
                </c:pt>
                <c:pt idx="85">
                  <c:v>396801</c:v>
                </c:pt>
                <c:pt idx="86">
                  <c:v>399441</c:v>
                </c:pt>
                <c:pt idx="87">
                  <c:v>402063</c:v>
                </c:pt>
                <c:pt idx="91">
                  <c:v>408342</c:v>
                </c:pt>
                <c:pt idx="92">
                  <c:v>408623</c:v>
                </c:pt>
                <c:pt idx="93">
                  <c:v>408313</c:v>
                </c:pt>
                <c:pt idx="94">
                  <c:v>409819</c:v>
                </c:pt>
                <c:pt idx="95">
                  <c:v>412948</c:v>
                </c:pt>
                <c:pt idx="98">
                  <c:v>413176</c:v>
                </c:pt>
                <c:pt idx="99">
                  <c:v>414800</c:v>
                </c:pt>
                <c:pt idx="100">
                  <c:v>415169</c:v>
                </c:pt>
                <c:pt idx="101">
                  <c:v>417349</c:v>
                </c:pt>
                <c:pt idx="102">
                  <c:v>419131</c:v>
                </c:pt>
                <c:pt idx="105">
                  <c:v>418081</c:v>
                </c:pt>
                <c:pt idx="106">
                  <c:v>415918</c:v>
                </c:pt>
                <c:pt idx="107">
                  <c:v>417502</c:v>
                </c:pt>
                <c:pt idx="108">
                  <c:v>417957</c:v>
                </c:pt>
                <c:pt idx="109">
                  <c:v>419417</c:v>
                </c:pt>
                <c:pt idx="112">
                  <c:v>419419</c:v>
                </c:pt>
                <c:pt idx="113">
                  <c:v>419335</c:v>
                </c:pt>
                <c:pt idx="114">
                  <c:v>420153</c:v>
                </c:pt>
                <c:pt idx="115">
                  <c:v>421878</c:v>
                </c:pt>
                <c:pt idx="116">
                  <c:v>419810</c:v>
                </c:pt>
                <c:pt idx="118">
                  <c:v>420939</c:v>
                </c:pt>
                <c:pt idx="119">
                  <c:v>417904</c:v>
                </c:pt>
                <c:pt idx="120">
                  <c:v>418772</c:v>
                </c:pt>
                <c:pt idx="121">
                  <c:v>420270</c:v>
                </c:pt>
                <c:pt idx="122">
                  <c:v>423804</c:v>
                </c:pt>
                <c:pt idx="125">
                  <c:v>423639</c:v>
                </c:pt>
                <c:pt idx="126">
                  <c:v>416204</c:v>
                </c:pt>
                <c:pt idx="127">
                  <c:v>413473</c:v>
                </c:pt>
                <c:pt idx="128">
                  <c:v>413158</c:v>
                </c:pt>
                <c:pt idx="129">
                  <c:v>418313</c:v>
                </c:pt>
                <c:pt idx="132">
                  <c:v>417192</c:v>
                </c:pt>
                <c:pt idx="133">
                  <c:v>416915</c:v>
                </c:pt>
                <c:pt idx="134">
                  <c:v>411693</c:v>
                </c:pt>
                <c:pt idx="135">
                  <c:v>417280</c:v>
                </c:pt>
                <c:pt idx="136">
                  <c:v>418872</c:v>
                </c:pt>
                <c:pt idx="139">
                  <c:v>420952</c:v>
                </c:pt>
                <c:pt idx="140">
                  <c:v>421342</c:v>
                </c:pt>
                <c:pt idx="141">
                  <c:v>420261</c:v>
                </c:pt>
                <c:pt idx="142">
                  <c:v>421338</c:v>
                </c:pt>
                <c:pt idx="143">
                  <c:v>421836</c:v>
                </c:pt>
                <c:pt idx="147">
                  <c:v>423412</c:v>
                </c:pt>
                <c:pt idx="148">
                  <c:v>421737</c:v>
                </c:pt>
                <c:pt idx="149">
                  <c:v>420439</c:v>
                </c:pt>
                <c:pt idx="150">
                  <c:v>423345</c:v>
                </c:pt>
                <c:pt idx="153">
                  <c:v>423234</c:v>
                </c:pt>
                <c:pt idx="154">
                  <c:v>423674</c:v>
                </c:pt>
                <c:pt idx="155">
                  <c:v>423709</c:v>
                </c:pt>
                <c:pt idx="156">
                  <c:v>424974</c:v>
                </c:pt>
                <c:pt idx="157">
                  <c:v>424838</c:v>
                </c:pt>
                <c:pt idx="160">
                  <c:v>425559</c:v>
                </c:pt>
                <c:pt idx="161">
                  <c:v>425716</c:v>
                </c:pt>
                <c:pt idx="162">
                  <c:v>425189</c:v>
                </c:pt>
                <c:pt idx="163">
                  <c:v>423229</c:v>
                </c:pt>
                <c:pt idx="164">
                  <c:v>420478</c:v>
                </c:pt>
                <c:pt idx="167">
                  <c:v>422624</c:v>
                </c:pt>
                <c:pt idx="168">
                  <c:v>425584</c:v>
                </c:pt>
                <c:pt idx="169">
                  <c:v>425660</c:v>
                </c:pt>
                <c:pt idx="170">
                  <c:v>427128</c:v>
                </c:pt>
                <c:pt idx="171">
                  <c:v>428612</c:v>
                </c:pt>
                <c:pt idx="174">
                  <c:v>429214</c:v>
                </c:pt>
                <c:pt idx="175">
                  <c:v>430052</c:v>
                </c:pt>
                <c:pt idx="176">
                  <c:v>430243</c:v>
                </c:pt>
                <c:pt idx="177">
                  <c:v>432066</c:v>
                </c:pt>
                <c:pt idx="178">
                  <c:v>435543</c:v>
                </c:pt>
                <c:pt idx="182">
                  <c:v>435646</c:v>
                </c:pt>
                <c:pt idx="183">
                  <c:v>436188</c:v>
                </c:pt>
                <c:pt idx="184">
                  <c:v>433088</c:v>
                </c:pt>
                <c:pt idx="185">
                  <c:v>437160</c:v>
                </c:pt>
                <c:pt idx="188">
                  <c:v>438668</c:v>
                </c:pt>
                <c:pt idx="189">
                  <c:v>439237</c:v>
                </c:pt>
                <c:pt idx="190">
                  <c:v>439368</c:v>
                </c:pt>
                <c:pt idx="191">
                  <c:v>436902</c:v>
                </c:pt>
                <c:pt idx="192">
                  <c:v>437509</c:v>
                </c:pt>
                <c:pt idx="195">
                  <c:v>429640</c:v>
                </c:pt>
                <c:pt idx="196">
                  <c:v>433684</c:v>
                </c:pt>
                <c:pt idx="197">
                  <c:v>435970</c:v>
                </c:pt>
                <c:pt idx="198">
                  <c:v>436987</c:v>
                </c:pt>
                <c:pt idx="199">
                  <c:v>441518</c:v>
                </c:pt>
                <c:pt idx="202">
                  <c:v>442273</c:v>
                </c:pt>
                <c:pt idx="203">
                  <c:v>441638</c:v>
                </c:pt>
                <c:pt idx="204">
                  <c:v>441547</c:v>
                </c:pt>
                <c:pt idx="205">
                  <c:v>442997</c:v>
                </c:pt>
                <c:pt idx="206">
                  <c:v>441225</c:v>
                </c:pt>
                <c:pt idx="209">
                  <c:v>442218</c:v>
                </c:pt>
                <c:pt idx="210">
                  <c:v>442379</c:v>
                </c:pt>
                <c:pt idx="211">
                  <c:v>441617</c:v>
                </c:pt>
                <c:pt idx="212">
                  <c:v>442976</c:v>
                </c:pt>
                <c:pt idx="213">
                  <c:v>444082</c:v>
                </c:pt>
                <c:pt idx="216">
                  <c:v>443939</c:v>
                </c:pt>
                <c:pt idx="217">
                  <c:v>444521</c:v>
                </c:pt>
                <c:pt idx="218">
                  <c:v>444944</c:v>
                </c:pt>
                <c:pt idx="219">
                  <c:v>446177</c:v>
                </c:pt>
                <c:pt idx="220">
                  <c:v>446837</c:v>
                </c:pt>
                <c:pt idx="223">
                  <c:v>448026</c:v>
                </c:pt>
                <c:pt idx="224">
                  <c:v>446212</c:v>
                </c:pt>
                <c:pt idx="225">
                  <c:v>445432</c:v>
                </c:pt>
                <c:pt idx="226">
                  <c:v>441861</c:v>
                </c:pt>
                <c:pt idx="227">
                  <c:v>444435</c:v>
                </c:pt>
                <c:pt idx="230">
                  <c:v>448988</c:v>
                </c:pt>
                <c:pt idx="231">
                  <c:v>449281</c:v>
                </c:pt>
                <c:pt idx="232">
                  <c:v>450171</c:v>
                </c:pt>
                <c:pt idx="233">
                  <c:v>449590</c:v>
                </c:pt>
                <c:pt idx="234">
                  <c:v>451333</c:v>
                </c:pt>
                <c:pt idx="237">
                  <c:v>453736</c:v>
                </c:pt>
                <c:pt idx="238">
                  <c:v>453139</c:v>
                </c:pt>
                <c:pt idx="239">
                  <c:v>453711</c:v>
                </c:pt>
                <c:pt idx="240">
                  <c:v>454585</c:v>
                </c:pt>
                <c:pt idx="241">
                  <c:v>454145</c:v>
                </c:pt>
                <c:pt idx="245">
                  <c:v>453538</c:v>
                </c:pt>
                <c:pt idx="246">
                  <c:v>452179</c:v>
                </c:pt>
                <c:pt idx="247">
                  <c:v>452990</c:v>
                </c:pt>
                <c:pt idx="248">
                  <c:v>452047</c:v>
                </c:pt>
                <c:pt idx="251">
                  <c:v>449299</c:v>
                </c:pt>
                <c:pt idx="252">
                  <c:v>448568</c:v>
                </c:pt>
                <c:pt idx="253">
                  <c:v>448687</c:v>
                </c:pt>
                <c:pt idx="254">
                  <c:v>448587</c:v>
                </c:pt>
                <c:pt idx="255">
                  <c:v>447152</c:v>
                </c:pt>
                <c:pt idx="258">
                  <c:v>440295</c:v>
                </c:pt>
                <c:pt idx="259">
                  <c:v>439487</c:v>
                </c:pt>
                <c:pt idx="260">
                  <c:v>441675</c:v>
                </c:pt>
                <c:pt idx="261">
                  <c:v>446540</c:v>
                </c:pt>
                <c:pt idx="262">
                  <c:v>446312</c:v>
                </c:pt>
                <c:pt idx="265">
                  <c:v>445730</c:v>
                </c:pt>
                <c:pt idx="266">
                  <c:v>441954</c:v>
                </c:pt>
                <c:pt idx="267">
                  <c:v>438557</c:v>
                </c:pt>
                <c:pt idx="268">
                  <c:v>438255</c:v>
                </c:pt>
                <c:pt idx="269">
                  <c:v>437519</c:v>
                </c:pt>
                <c:pt idx="272">
                  <c:v>435551</c:v>
                </c:pt>
                <c:pt idx="273">
                  <c:v>436923</c:v>
                </c:pt>
                <c:pt idx="274">
                  <c:v>436557</c:v>
                </c:pt>
                <c:pt idx="275">
                  <c:v>442997</c:v>
                </c:pt>
                <c:pt idx="276">
                  <c:v>441202</c:v>
                </c:pt>
                <c:pt idx="279">
                  <c:v>441588</c:v>
                </c:pt>
                <c:pt idx="280">
                  <c:v>437489</c:v>
                </c:pt>
                <c:pt idx="281">
                  <c:v>437287</c:v>
                </c:pt>
                <c:pt idx="282">
                  <c:v>443973</c:v>
                </c:pt>
                <c:pt idx="283">
                  <c:v>447582</c:v>
                </c:pt>
                <c:pt idx="286">
                  <c:v>448875</c:v>
                </c:pt>
                <c:pt idx="287">
                  <c:v>452040</c:v>
                </c:pt>
                <c:pt idx="288">
                  <c:v>454087</c:v>
                </c:pt>
                <c:pt idx="289">
                  <c:v>455144</c:v>
                </c:pt>
                <c:pt idx="290">
                  <c:v>455967</c:v>
                </c:pt>
                <c:pt idx="293">
                  <c:v>457262</c:v>
                </c:pt>
                <c:pt idx="294">
                  <c:v>459853</c:v>
                </c:pt>
                <c:pt idx="295">
                  <c:v>458457</c:v>
                </c:pt>
                <c:pt idx="296">
                  <c:v>459755</c:v>
                </c:pt>
                <c:pt idx="297">
                  <c:v>460808</c:v>
                </c:pt>
                <c:pt idx="300">
                  <c:v>462034</c:v>
                </c:pt>
                <c:pt idx="301">
                  <c:v>463515</c:v>
                </c:pt>
                <c:pt idx="302">
                  <c:v>466346</c:v>
                </c:pt>
                <c:pt idx="303">
                  <c:v>468300</c:v>
                </c:pt>
                <c:pt idx="304">
                  <c:v>471850</c:v>
                </c:pt>
                <c:pt idx="307">
                  <c:v>471492</c:v>
                </c:pt>
                <c:pt idx="308">
                  <c:v>470853</c:v>
                </c:pt>
                <c:pt idx="309">
                  <c:v>468485</c:v>
                </c:pt>
                <c:pt idx="310">
                  <c:v>466455</c:v>
                </c:pt>
                <c:pt idx="311">
                  <c:v>468847</c:v>
                </c:pt>
                <c:pt idx="314">
                  <c:v>469742</c:v>
                </c:pt>
                <c:pt idx="315">
                  <c:v>471495</c:v>
                </c:pt>
                <c:pt idx="316">
                  <c:v>470150</c:v>
                </c:pt>
                <c:pt idx="317">
                  <c:v>470880</c:v>
                </c:pt>
                <c:pt idx="318">
                  <c:v>471775</c:v>
                </c:pt>
                <c:pt idx="321">
                  <c:v>474383</c:v>
                </c:pt>
                <c:pt idx="322">
                  <c:v>469939</c:v>
                </c:pt>
                <c:pt idx="323">
                  <c:v>470287</c:v>
                </c:pt>
                <c:pt idx="325">
                  <c:v>466463</c:v>
                </c:pt>
                <c:pt idx="328">
                  <c:v>467295</c:v>
                </c:pt>
                <c:pt idx="329">
                  <c:v>464602</c:v>
                </c:pt>
                <c:pt idx="330">
                  <c:v>465294</c:v>
                </c:pt>
                <c:pt idx="331">
                  <c:v>459546</c:v>
                </c:pt>
                <c:pt idx="332">
                  <c:v>460803</c:v>
                </c:pt>
                <c:pt idx="335">
                  <c:v>461260</c:v>
                </c:pt>
                <c:pt idx="336">
                  <c:v>469404</c:v>
                </c:pt>
                <c:pt idx="337">
                  <c:v>470506</c:v>
                </c:pt>
                <c:pt idx="338">
                  <c:v>469526</c:v>
                </c:pt>
                <c:pt idx="339">
                  <c:v>471357</c:v>
                </c:pt>
                <c:pt idx="342">
                  <c:v>471030</c:v>
                </c:pt>
                <c:pt idx="343">
                  <c:v>466047</c:v>
                </c:pt>
                <c:pt idx="344">
                  <c:v>471260</c:v>
                </c:pt>
                <c:pt idx="345">
                  <c:v>473199</c:v>
                </c:pt>
                <c:pt idx="346">
                  <c:v>466670</c:v>
                </c:pt>
                <c:pt idx="349">
                  <c:v>458790</c:v>
                </c:pt>
                <c:pt idx="350">
                  <c:v>465114</c:v>
                </c:pt>
                <c:pt idx="351">
                  <c:v>469767</c:v>
                </c:pt>
                <c:pt idx="352">
                  <c:v>474074</c:v>
                </c:pt>
                <c:pt idx="356">
                  <c:v>479149</c:v>
                </c:pt>
                <c:pt idx="357">
                  <c:v>480702</c:v>
                </c:pt>
                <c:pt idx="358">
                  <c:v>480406</c:v>
                </c:pt>
                <c:pt idx="359">
                  <c:v>480893</c:v>
                </c:pt>
                <c:pt idx="360">
                  <c:v>478683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B4-4A37-8DB1-3733595F0C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8896527"/>
        <c:axId val="838916079"/>
      </c:lineChart>
      <c:catAx>
        <c:axId val="799425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799421743"/>
        <c:crosses val="autoZero"/>
        <c:auto val="1"/>
        <c:lblAlgn val="ctr"/>
        <c:lblOffset val="100"/>
        <c:noMultiLvlLbl val="0"/>
      </c:catAx>
      <c:valAx>
        <c:axId val="799421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799425071"/>
        <c:crosses val="autoZero"/>
        <c:crossBetween val="between"/>
      </c:valAx>
      <c:valAx>
        <c:axId val="838916079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2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838896527"/>
        <c:crosses val="max"/>
        <c:crossBetween val="between"/>
      </c:valAx>
      <c:catAx>
        <c:axId val="838896527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389160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4761</xdr:colOff>
      <xdr:row>4</xdr:row>
      <xdr:rowOff>200024</xdr:rowOff>
    </xdr:from>
    <xdr:to>
      <xdr:col>9</xdr:col>
      <xdr:colOff>0</xdr:colOff>
      <xdr:row>19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0CC3814-0927-6216-39D4-BCBD6A44FF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200024</xdr:rowOff>
    </xdr:from>
    <xdr:to>
      <xdr:col>5</xdr:col>
      <xdr:colOff>1000125</xdr:colOff>
      <xdr:row>19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17C70E-32F1-2EBC-1D7E-4DE1949DBE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4761</xdr:colOff>
      <xdr:row>1</xdr:row>
      <xdr:rowOff>0</xdr:rowOff>
    </xdr:from>
    <xdr:to>
      <xdr:col>19</xdr:col>
      <xdr:colOff>133350</xdr:colOff>
      <xdr:row>27</xdr:row>
      <xdr:rowOff>190500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FC7C29E-00E3-7444-91F5-3D4C19E417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m Vlek" refreshedDate="44792.590962615737" createdVersion="8" refreshedVersion="8" minRefreshableVersion="3" recordCount="621" xr:uid="{45BC6112-B023-453C-9353-D9711CC77B2D}">
  <cacheSource type="worksheet">
    <worksheetSource ref="E1:I1048576" sheet="Data"/>
  </cacheSource>
  <cacheFields count="5">
    <cacheField name="Close" numFmtId="3">
      <sharedItems containsString="0" containsBlank="1" containsNumber="1" containsInteger="1" minValue="370065" maxValue="6852575"/>
    </cacheField>
    <cacheField name="Volume" numFmtId="3">
      <sharedItems containsString="0" containsBlank="1" containsNumber="1" containsInteger="1" minValue="28830" maxValue="987804000000"/>
    </cacheField>
    <cacheField name="Month (old2)" numFmtId="0">
      <sharedItems containsBlank="1"/>
    </cacheField>
    <cacheField name="Symbol" numFmtId="0">
      <sharedItems containsBlank="1" count="3">
        <s v="SP500"/>
        <s v="BTCUSD"/>
        <m/>
      </sharedItems>
    </cacheField>
    <cacheField name="Month" numFmtId="0">
      <sharedItems containsBlank="1" count="13">
        <s v="Dec"/>
        <s v="Nov"/>
        <s v="Oct"/>
        <s v="Sep"/>
        <s v="Aug"/>
        <s v="Jul"/>
        <s v="Jun"/>
        <s v="May"/>
        <s v="Apr"/>
        <s v="Mar"/>
        <s v="Feb"/>
        <s v="Jan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m Vlek" refreshedDate="44792.593480787036" createdVersion="8" refreshedVersion="8" minRefreshableVersion="3" recordCount="621" xr:uid="{5E5BFB98-AADC-4D52-A03D-DAFACD2CB9B1}">
  <cacheSource type="worksheet">
    <worksheetSource ref="A1:H1048576" sheet="Data"/>
  </cacheSource>
  <cacheFields count="11">
    <cacheField name="Date" numFmtId="164">
      <sharedItems containsNonDate="0" containsDate="1" containsString="0" containsBlank="1" minDate="2021-01-04T00:00:00" maxDate="2022-01-01T00:00:00" count="362">
        <d v="2021-12-31T00:00:00"/>
        <d v="2021-12-30T00:00:00"/>
        <d v="2021-12-29T00:00:00"/>
        <d v="2021-12-28T00:00:00"/>
        <d v="2021-12-27T00:00:00"/>
        <d v="2021-12-26T00:00:00"/>
        <d v="2021-12-25T00:00:00"/>
        <d v="2021-12-24T00:00:00"/>
        <d v="2021-12-23T00:00:00"/>
        <d v="2021-12-22T00:00:00"/>
        <d v="2021-12-21T00:00:00"/>
        <d v="2021-12-20T00:00:00"/>
        <d v="2021-12-19T00:00:00"/>
        <d v="2021-12-18T00:00:00"/>
        <d v="2021-12-17T00:00:00"/>
        <d v="2021-12-16T00:00:00"/>
        <d v="2021-12-15T00:00:00"/>
        <d v="2021-12-14T00:00:00"/>
        <d v="2021-12-13T00:00:00"/>
        <d v="2021-12-12T00:00:00"/>
        <d v="2021-12-11T00:00:00"/>
        <d v="2021-12-10T00:00:00"/>
        <d v="2021-12-09T00:00:00"/>
        <d v="2021-12-08T00:00:00"/>
        <d v="2021-12-07T00:00:00"/>
        <d v="2021-12-06T00:00:00"/>
        <d v="2021-12-05T00:00:00"/>
        <d v="2021-12-04T00:00:00"/>
        <d v="2021-12-03T00:00:00"/>
        <d v="2021-12-02T00:00:00"/>
        <d v="2021-12-01T00:00:00"/>
        <d v="2021-11-30T00:00:00"/>
        <d v="2021-11-29T00:00:00"/>
        <d v="2021-11-28T00:00:00"/>
        <d v="2021-11-27T00:00:00"/>
        <d v="2021-11-26T00:00:00"/>
        <d v="2021-11-25T00:00:00"/>
        <d v="2021-11-24T00:00:00"/>
        <d v="2021-11-23T00:00:00"/>
        <d v="2021-11-22T00:00:00"/>
        <d v="2021-11-21T00:00:00"/>
        <d v="2021-11-20T00:00:00"/>
        <d v="2021-11-19T00:00:00"/>
        <d v="2021-11-18T00:00:00"/>
        <d v="2021-11-17T00:00:00"/>
        <d v="2021-11-16T00:00:00"/>
        <d v="2021-11-15T00:00:00"/>
        <d v="2021-11-14T00:00:00"/>
        <d v="2021-11-13T00:00:00"/>
        <d v="2021-11-12T00:00:00"/>
        <d v="2021-11-11T00:00:00"/>
        <d v="2021-11-10T00:00:00"/>
        <d v="2021-11-09T00:00:00"/>
        <d v="2021-11-08T00:00:00"/>
        <d v="2021-11-07T00:00:00"/>
        <d v="2021-11-06T00:00:00"/>
        <d v="2021-11-05T00:00:00"/>
        <d v="2021-11-04T00:00:00"/>
        <d v="2021-11-03T00:00:00"/>
        <d v="2021-11-02T00:00:00"/>
        <d v="2021-11-01T00:00:00"/>
        <d v="2021-10-31T00:00:00"/>
        <d v="2021-10-30T00:00:00"/>
        <d v="2021-10-29T00:00:00"/>
        <d v="2021-10-28T00:00:00"/>
        <d v="2021-10-27T00:00:00"/>
        <d v="2021-10-26T00:00:00"/>
        <d v="2021-10-25T00:00:00"/>
        <d v="2021-10-24T00:00:00"/>
        <d v="2021-10-23T00:00:00"/>
        <d v="2021-10-22T00:00:00"/>
        <d v="2021-10-21T00:00:00"/>
        <d v="2021-10-20T00:00:00"/>
        <d v="2021-10-19T00:00:00"/>
        <d v="2021-10-18T00:00:00"/>
        <d v="2021-10-17T00:00:00"/>
        <d v="2021-10-16T00:00:00"/>
        <d v="2021-10-15T00:00:00"/>
        <d v="2021-10-14T00:00:00"/>
        <d v="2021-10-13T00:00:00"/>
        <d v="2021-10-12T00:00:00"/>
        <d v="2021-10-11T00:00:00"/>
        <d v="2021-10-10T00:00:00"/>
        <d v="2021-10-09T00:00:00"/>
        <d v="2021-10-08T00:00:00"/>
        <d v="2021-10-07T00:00:00"/>
        <d v="2021-10-06T00:00:00"/>
        <d v="2021-10-05T00:00:00"/>
        <d v="2021-10-04T00:00:00"/>
        <d v="2021-10-03T00:00:00"/>
        <d v="2021-10-02T00:00:00"/>
        <d v="2021-10-01T00:00:00"/>
        <d v="2021-09-30T00:00:00"/>
        <d v="2021-09-29T00:00:00"/>
        <d v="2021-09-28T00:00:00"/>
        <d v="2021-09-27T00:00:00"/>
        <d v="2021-09-26T00:00:00"/>
        <d v="2021-09-25T00:00:00"/>
        <d v="2021-09-24T00:00:00"/>
        <d v="2021-09-23T00:00:00"/>
        <d v="2021-09-22T00:00:00"/>
        <d v="2021-09-21T00:00:00"/>
        <d v="2021-09-20T00:00:00"/>
        <d v="2021-09-19T00:00:00"/>
        <d v="2021-09-18T00:00:00"/>
        <d v="2021-09-17T00:00:00"/>
        <d v="2021-09-16T00:00:00"/>
        <d v="2021-09-15T00:00:00"/>
        <d v="2021-09-14T00:00:00"/>
        <d v="2021-09-13T00:00:00"/>
        <d v="2021-09-12T00:00:00"/>
        <d v="2021-09-11T00:00:00"/>
        <d v="2021-09-10T00:00:00"/>
        <d v="2021-09-09T00:00:00"/>
        <d v="2021-09-08T00:00:00"/>
        <d v="2021-09-07T00:00:00"/>
        <d v="2021-09-06T00:00:00"/>
        <d v="2021-09-05T00:00:00"/>
        <d v="2021-09-04T00:00:00"/>
        <d v="2021-09-03T00:00:00"/>
        <d v="2021-09-02T00:00:00"/>
        <d v="2021-09-01T00:00:00"/>
        <d v="2021-08-31T00:00:00"/>
        <d v="2021-08-30T00:00:00"/>
        <d v="2021-08-29T00:00:00"/>
        <d v="2021-08-28T00:00:00"/>
        <d v="2021-08-27T00:00:00"/>
        <d v="2021-08-26T00:00:00"/>
        <d v="2021-08-25T00:00:00"/>
        <d v="2021-08-24T00:00:00"/>
        <d v="2021-08-23T00:00:00"/>
        <d v="2021-08-22T00:00:00"/>
        <d v="2021-08-21T00:00:00"/>
        <d v="2021-08-20T00:00:00"/>
        <d v="2021-08-19T00:00:00"/>
        <d v="2021-08-18T00:00:00"/>
        <d v="2021-08-17T00:00:00"/>
        <d v="2021-08-16T00:00:00"/>
        <d v="2021-08-15T00:00:00"/>
        <d v="2021-08-14T00:00:00"/>
        <d v="2021-08-13T00:00:00"/>
        <d v="2021-08-12T00:00:00"/>
        <d v="2021-08-11T00:00:00"/>
        <d v="2021-08-10T00:00:00"/>
        <d v="2021-08-09T00:00:00"/>
        <d v="2021-08-08T00:00:00"/>
        <d v="2021-08-07T00:00:00"/>
        <d v="2021-08-06T00:00:00"/>
        <d v="2021-08-05T00:00:00"/>
        <d v="2021-08-04T00:00:00"/>
        <d v="2021-08-03T00:00:00"/>
        <d v="2021-08-02T00:00:00"/>
        <d v="2021-08-01T00:00:00"/>
        <d v="2021-07-31T00:00:00"/>
        <d v="2021-07-30T00:00:00"/>
        <d v="2021-07-29T00:00:00"/>
        <d v="2021-07-28T00:00:00"/>
        <d v="2021-07-27T00:00:00"/>
        <d v="2021-07-26T00:00:00"/>
        <d v="2021-07-25T00:00:00"/>
        <d v="2021-07-24T00:00:00"/>
        <d v="2021-07-23T00:00:00"/>
        <d v="2021-07-22T00:00:00"/>
        <d v="2021-07-21T00:00:00"/>
        <d v="2021-07-20T00:00:00"/>
        <d v="2021-07-19T00:00:00"/>
        <d v="2021-07-18T00:00:00"/>
        <d v="2021-07-17T00:00:00"/>
        <d v="2021-07-16T00:00:00"/>
        <d v="2021-07-15T00:00:00"/>
        <d v="2021-07-14T00:00:00"/>
        <d v="2021-07-13T00:00:00"/>
        <d v="2021-07-12T00:00:00"/>
        <d v="2021-07-11T00:00:00"/>
        <d v="2021-07-10T00:00:00"/>
        <d v="2021-07-09T00:00:00"/>
        <d v="2021-07-08T00:00:00"/>
        <d v="2021-07-07T00:00:00"/>
        <d v="2021-07-06T00:00:00"/>
        <d v="2021-07-05T00:00:00"/>
        <d v="2021-07-04T00:00:00"/>
        <d v="2021-07-03T00:00:00"/>
        <d v="2021-07-02T00:00:00"/>
        <d v="2021-07-01T00:00:00"/>
        <d v="2021-06-30T00:00:00"/>
        <d v="2021-06-29T00:00:00"/>
        <d v="2021-06-28T00:00:00"/>
        <d v="2021-06-27T00:00:00"/>
        <d v="2021-06-26T00:00:00"/>
        <d v="2021-06-25T00:00:00"/>
        <d v="2021-06-24T00:00:00"/>
        <d v="2021-06-23T00:00:00"/>
        <d v="2021-06-22T00:00:00"/>
        <d v="2021-06-21T00:00:00"/>
        <d v="2021-06-20T00:00:00"/>
        <d v="2021-06-19T00:00:00"/>
        <d v="2021-06-18T00:00:00"/>
        <d v="2021-06-17T00:00:00"/>
        <d v="2021-06-16T00:00:00"/>
        <d v="2021-06-15T00:00:00"/>
        <d v="2021-06-14T00:00:00"/>
        <d v="2021-06-13T00:00:00"/>
        <d v="2021-06-12T00:00:00"/>
        <d v="2021-06-11T00:00:00"/>
        <d v="2021-06-10T00:00:00"/>
        <d v="2021-06-09T00:00:00"/>
        <d v="2021-06-08T00:00:00"/>
        <d v="2021-06-07T00:00:00"/>
        <d v="2021-06-06T00:00:00"/>
        <d v="2021-06-05T00:00:00"/>
        <d v="2021-06-04T00:00:00"/>
        <d v="2021-06-03T00:00:00"/>
        <d v="2021-06-02T00:00:00"/>
        <d v="2021-06-01T00:00:00"/>
        <d v="2021-05-31T00:00:00"/>
        <d v="2021-05-30T00:00:00"/>
        <d v="2021-05-29T00:00:00"/>
        <d v="2021-05-28T00:00:00"/>
        <d v="2021-05-27T00:00:00"/>
        <d v="2021-05-26T00:00:00"/>
        <d v="2021-05-25T00:00:00"/>
        <d v="2021-05-24T00:00:00"/>
        <d v="2021-05-23T00:00:00"/>
        <d v="2021-05-22T00:00:00"/>
        <d v="2021-05-21T00:00:00"/>
        <d v="2021-05-20T00:00:00"/>
        <d v="2021-05-19T00:00:00"/>
        <d v="2021-05-18T00:00:00"/>
        <d v="2021-05-17T00:00:00"/>
        <d v="2021-05-16T00:00:00"/>
        <d v="2021-05-15T00:00:00"/>
        <d v="2021-05-14T00:00:00"/>
        <d v="2021-05-13T00:00:00"/>
        <d v="2021-05-12T00:00:00"/>
        <d v="2021-05-11T00:00:00"/>
        <d v="2021-05-10T00:00:00"/>
        <d v="2021-05-09T00:00:00"/>
        <d v="2021-05-08T00:00:00"/>
        <d v="2021-05-07T00:00:00"/>
        <d v="2021-05-06T00:00:00"/>
        <d v="2021-05-05T00:00:00"/>
        <d v="2021-05-04T00:00:00"/>
        <d v="2021-05-03T00:00:00"/>
        <d v="2021-05-02T00:00:00"/>
        <d v="2021-04-30T00:00:00"/>
        <d v="2021-04-29T00:00:00"/>
        <d v="2021-04-28T00:00:00"/>
        <d v="2021-04-27T00:00:00"/>
        <d v="2021-04-26T00:00:00"/>
        <d v="2021-04-25T00:00:00"/>
        <d v="2021-04-24T00:00:00"/>
        <d v="2021-04-23T00:00:00"/>
        <d v="2021-04-22T00:00:00"/>
        <d v="2021-04-21T00:00:00"/>
        <d v="2021-04-20T00:00:00"/>
        <d v="2021-04-19T00:00:00"/>
        <d v="2021-04-18T00:00:00"/>
        <d v="2021-04-17T00:00:00"/>
        <d v="2021-04-16T00:00:00"/>
        <d v="2021-04-15T00:00:00"/>
        <d v="2021-04-14T00:00:00"/>
        <d v="2021-04-13T00:00:00"/>
        <d v="2021-04-12T00:00:00"/>
        <d v="2021-04-11T00:00:00"/>
        <d v="2021-04-10T00:00:00"/>
        <d v="2021-04-09T00:00:00"/>
        <d v="2021-04-08T00:00:00"/>
        <d v="2021-04-07T00:00:00"/>
        <d v="2021-04-06T00:00:00"/>
        <d v="2021-04-05T00:00:00"/>
        <d v="2021-04-04T00:00:00"/>
        <d v="2021-04-03T00:00:00"/>
        <d v="2021-04-02T00:00:00"/>
        <d v="2021-04-01T00:00:00"/>
        <d v="2021-03-31T00:00:00"/>
        <d v="2021-03-30T00:00:00"/>
        <d v="2021-03-29T00:00:00"/>
        <d v="2021-03-28T00:00:00"/>
        <d v="2021-03-27T00:00:00"/>
        <d v="2021-03-26T00:00:00"/>
        <d v="2021-03-25T00:00:00"/>
        <d v="2021-03-24T00:00:00"/>
        <d v="2021-03-23T00:00:00"/>
        <d v="2021-03-22T00:00:00"/>
        <d v="2021-03-21T00:00:00"/>
        <d v="2021-03-20T00:00:00"/>
        <d v="2021-03-19T00:00:00"/>
        <d v="2021-03-18T00:00:00"/>
        <d v="2021-03-17T00:00:00"/>
        <d v="2021-03-16T00:00:00"/>
        <d v="2021-03-15T00:00:00"/>
        <d v="2021-03-14T00:00:00"/>
        <d v="2021-03-13T00:00:00"/>
        <d v="2021-03-12T00:00:00"/>
        <d v="2021-03-11T00:00:00"/>
        <d v="2021-03-10T00:00:00"/>
        <d v="2021-03-09T00:00:00"/>
        <d v="2021-03-08T00:00:00"/>
        <d v="2021-03-07T00:00:00"/>
        <d v="2021-03-06T00:00:00"/>
        <d v="2021-03-05T00:00:00"/>
        <d v="2021-03-04T00:00:00"/>
        <d v="2021-03-03T00:00:00"/>
        <d v="2021-03-02T00:00:00"/>
        <d v="2021-03-01T00:00:00"/>
        <d v="2021-02-28T00:00:00"/>
        <d v="2021-02-27T00:00:00"/>
        <d v="2021-02-26T00:00:00"/>
        <d v="2021-02-25T00:00:00"/>
        <d v="2021-02-24T00:00:00"/>
        <d v="2021-02-23T00:00:00"/>
        <d v="2021-02-22T00:00:00"/>
        <d v="2021-02-21T00:00:00"/>
        <d v="2021-02-20T00:00:00"/>
        <d v="2021-02-19T00:00:00"/>
        <d v="2021-02-18T00:00:00"/>
        <d v="2021-02-17T00:00:00"/>
        <d v="2021-02-16T00:00:00"/>
        <d v="2021-02-15T00:00:00"/>
        <d v="2021-02-14T00:00:00"/>
        <d v="2021-02-13T00:00:00"/>
        <d v="2021-02-12T00:00:00"/>
        <d v="2021-02-11T00:00:00"/>
        <d v="2021-02-10T00:00:00"/>
        <d v="2021-02-09T00:00:00"/>
        <d v="2021-02-08T00:00:00"/>
        <d v="2021-02-07T00:00:00"/>
        <d v="2021-02-06T00:00:00"/>
        <d v="2021-02-05T00:00:00"/>
        <d v="2021-02-04T00:00:00"/>
        <d v="2021-02-03T00:00:00"/>
        <d v="2021-02-02T00:00:00"/>
        <d v="2021-02-01T00:00:00"/>
        <d v="2021-01-31T00:00:00"/>
        <d v="2021-01-30T00:00:00"/>
        <d v="2021-01-29T00:00:00"/>
        <d v="2021-01-28T00:00:00"/>
        <d v="2021-01-27T00:00:00"/>
        <d v="2021-01-26T00:00:00"/>
        <d v="2021-01-25T00:00:00"/>
        <d v="2021-01-24T00:00:00"/>
        <d v="2021-01-23T00:00:00"/>
        <d v="2021-01-22T00:00:00"/>
        <d v="2021-01-21T00:00:00"/>
        <d v="2021-01-20T00:00:00"/>
        <d v="2021-01-19T00:00:00"/>
        <d v="2021-01-18T00:00:00"/>
        <d v="2021-01-17T00:00:00"/>
        <d v="2021-01-16T00:00:00"/>
        <d v="2021-01-15T00:00:00"/>
        <d v="2021-01-14T00:00:00"/>
        <d v="2021-01-13T00:00:00"/>
        <d v="2021-01-12T00:00:00"/>
        <d v="2021-01-11T00:00:00"/>
        <d v="2021-01-10T00:00:00"/>
        <d v="2021-01-09T00:00:00"/>
        <d v="2021-01-08T00:00:00"/>
        <d v="2021-01-07T00:00:00"/>
        <d v="2021-01-06T00:00:00"/>
        <d v="2021-01-05T00:00:00"/>
        <d v="2021-01-04T00:00:00"/>
        <m/>
      </sharedItems>
      <fieldGroup par="10" base="0">
        <rangePr groupBy="days" startDate="2021-01-04T00:00:00" endDate="2022-01-01T00:00:00"/>
        <groupItems count="368">
          <s v="(blank)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b"/>
          <s v="02/Feb"/>
          <s v="03/Feb"/>
          <s v="04/Feb"/>
          <s v="05/Feb"/>
          <s v="06/Feb"/>
          <s v="07/Feb"/>
          <s v="08/Feb"/>
          <s v="09/Feb"/>
          <s v="10/Feb"/>
          <s v="11/Feb"/>
          <s v="12/Feb"/>
          <s v="13/Feb"/>
          <s v="14/Feb"/>
          <s v="15/Feb"/>
          <s v="16/Feb"/>
          <s v="17/Feb"/>
          <s v="18/Feb"/>
          <s v="19/Feb"/>
          <s v="20/Feb"/>
          <s v="21/Feb"/>
          <s v="22/Feb"/>
          <s v="23/Feb"/>
          <s v="24/Feb"/>
          <s v="25/Feb"/>
          <s v="26/Feb"/>
          <s v="27/Feb"/>
          <s v="28/Feb"/>
          <s v="29/Feb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pr"/>
          <s v="02/Apr"/>
          <s v="03/Apr"/>
          <s v="04/Apr"/>
          <s v="05/Apr"/>
          <s v="06/Apr"/>
          <s v="07/Apr"/>
          <s v="08/Apr"/>
          <s v="09/Apr"/>
          <s v="10/Apr"/>
          <s v="11/Apr"/>
          <s v="12/Apr"/>
          <s v="13/Apr"/>
          <s v="14/Apr"/>
          <s v="15/Apr"/>
          <s v="16/Apr"/>
          <s v="17/Apr"/>
          <s v="18/Apr"/>
          <s v="19/Apr"/>
          <s v="20/Apr"/>
          <s v="21/Apr"/>
          <s v="22/Apr"/>
          <s v="23/Apr"/>
          <s v="24/Apr"/>
          <s v="25/Apr"/>
          <s v="26/Apr"/>
          <s v="27/Apr"/>
          <s v="28/Apr"/>
          <s v="29/Apr"/>
          <s v="30/Apr"/>
          <s v="01/May"/>
          <s v="02/May"/>
          <s v="03/May"/>
          <s v="04/May"/>
          <s v="05/May"/>
          <s v="06/May"/>
          <s v="07/May"/>
          <s v="08/May"/>
          <s v="09/May"/>
          <s v="10/May"/>
          <s v="11/May"/>
          <s v="12/May"/>
          <s v="13/May"/>
          <s v="14/May"/>
          <s v="15/May"/>
          <s v="16/May"/>
          <s v="17/May"/>
          <s v="18/May"/>
          <s v="19/May"/>
          <s v="20/May"/>
          <s v="21/May"/>
          <s v="22/May"/>
          <s v="23/May"/>
          <s v="24/May"/>
          <s v="25/May"/>
          <s v="26/May"/>
          <s v="27/May"/>
          <s v="28/May"/>
          <s v="29/May"/>
          <s v="30/May"/>
          <s v="31/May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ug"/>
          <s v="02/Aug"/>
          <s v="03/Aug"/>
          <s v="04/Aug"/>
          <s v="05/Aug"/>
          <s v="06/Aug"/>
          <s v="07/Aug"/>
          <s v="08/Aug"/>
          <s v="09/Aug"/>
          <s v="10/Aug"/>
          <s v="11/Aug"/>
          <s v="12/Aug"/>
          <s v="13/Aug"/>
          <s v="14/Aug"/>
          <s v="15/Aug"/>
          <s v="16/Aug"/>
          <s v="17/Aug"/>
          <s v="18/Aug"/>
          <s v="19/Aug"/>
          <s v="20/Aug"/>
          <s v="21/Aug"/>
          <s v="22/Aug"/>
          <s v="23/Aug"/>
          <s v="24/Aug"/>
          <s v="25/Aug"/>
          <s v="26/Aug"/>
          <s v="27/Aug"/>
          <s v="28/Aug"/>
          <s v="29/Aug"/>
          <s v="30/Aug"/>
          <s v="31/Aug"/>
          <s v="01/Sep"/>
          <s v="02/Sep"/>
          <s v="03/Sep"/>
          <s v="04/Sep"/>
          <s v="05/Sep"/>
          <s v="06/Sep"/>
          <s v="07/Sep"/>
          <s v="08/Sep"/>
          <s v="09/Sep"/>
          <s v="10/Sep"/>
          <s v="11/Sep"/>
          <s v="12/Sep"/>
          <s v="13/Sep"/>
          <s v="14/Sep"/>
          <s v="15/Sep"/>
          <s v="16/Sep"/>
          <s v="17/Sep"/>
          <s v="18/Sep"/>
          <s v="19/Sep"/>
          <s v="20/Sep"/>
          <s v="21/Sep"/>
          <s v="22/Sep"/>
          <s v="23/Sep"/>
          <s v="24/Sep"/>
          <s v="25/Sep"/>
          <s v="26/Sep"/>
          <s v="27/Sep"/>
          <s v="28/Sep"/>
          <s v="29/Sep"/>
          <s v="30/Sep"/>
          <s v="01/Oct"/>
          <s v="02/Oct"/>
          <s v="03/Oct"/>
          <s v="04/Oct"/>
          <s v="05/Oct"/>
          <s v="06/Oct"/>
          <s v="07/Oct"/>
          <s v="08/Oct"/>
          <s v="09/Oct"/>
          <s v="10/Oct"/>
          <s v="11/Oct"/>
          <s v="12/Oct"/>
          <s v="13/Oct"/>
          <s v="14/Oct"/>
          <s v="15/Oct"/>
          <s v="16/Oct"/>
          <s v="17/Oct"/>
          <s v="18/Oct"/>
          <s v="19/Oct"/>
          <s v="20/Oct"/>
          <s v="21/Oct"/>
          <s v="22/Oct"/>
          <s v="23/Oct"/>
          <s v="24/Oct"/>
          <s v="25/Oct"/>
          <s v="26/Oct"/>
          <s v="27/Oct"/>
          <s v="28/Oct"/>
          <s v="29/Oct"/>
          <s v="30/Oct"/>
          <s v="31/Oc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c"/>
          <s v="02/Dec"/>
          <s v="03/Dec"/>
          <s v="04/Dec"/>
          <s v="05/Dec"/>
          <s v="06/Dec"/>
          <s v="07/Dec"/>
          <s v="08/Dec"/>
          <s v="09/Dec"/>
          <s v="10/Dec"/>
          <s v="11/Dec"/>
          <s v="12/Dec"/>
          <s v="13/Dec"/>
          <s v="14/Dec"/>
          <s v="15/Dec"/>
          <s v="16/Dec"/>
          <s v="17/Dec"/>
          <s v="18/Dec"/>
          <s v="19/Dec"/>
          <s v="20/Dec"/>
          <s v="21/Dec"/>
          <s v="22/Dec"/>
          <s v="23/Dec"/>
          <s v="24/Dec"/>
          <s v="25/Dec"/>
          <s v="26/Dec"/>
          <s v="27/Dec"/>
          <s v="28/Dec"/>
          <s v="29/Dec"/>
          <s v="30/Dec"/>
          <s v="31/Dec"/>
          <s v="&gt;01/01/2022"/>
        </groupItems>
      </fieldGroup>
    </cacheField>
    <cacheField name="Month (old)" numFmtId="0">
      <sharedItems containsBlank="1"/>
    </cacheField>
    <cacheField name="Symbol (old)" numFmtId="0">
      <sharedItems containsBlank="1"/>
    </cacheField>
    <cacheField name="Open" numFmtId="3">
      <sharedItems containsString="0" containsBlank="1" containsNumber="1" containsInteger="1" minValue="369802" maxValue="6852575"/>
    </cacheField>
    <cacheField name="High" numFmtId="3">
      <sharedItems containsString="0" containsBlank="1" containsNumber="1" containsInteger="1" minValue="373783" maxValue="6900000" count="611">
        <n v="478683"/>
        <n v="4857835"/>
        <n v="480893"/>
        <n v="4794930"/>
        <n v="480406"/>
        <n v="4807597"/>
        <n v="480702"/>
        <n v="4983468"/>
        <n v="479149"/>
        <n v="5210493"/>
        <n v="5129426"/>
        <n v="5115695"/>
        <n v="5186686"/>
        <n v="474074"/>
        <n v="5153371"/>
        <n v="469767"/>
        <n v="4954886"/>
        <n v="465114"/>
        <n v="4959811"/>
        <n v="458790"/>
        <n v="4808261"/>
        <n v="4830622"/>
        <n v="4798093"/>
        <n v="466670"/>
        <n v="4819413"/>
        <n v="473199"/>
        <n v="4946629"/>
        <n v="471260"/>
        <n v="4950000"/>
        <n v="466047"/>
        <n v="4878428"/>
        <n v="471030"/>
        <n v="4934869"/>
        <n v="5080848"/>
        <n v="4969999"/>
        <n v="471357"/>
        <n v="4924300"/>
        <n v="469526"/>
        <n v="5036235"/>
        <n v="470506"/>
        <n v="5126982"/>
        <n v="469404"/>
        <n v="5198266"/>
        <n v="461260"/>
        <n v="5148104"/>
        <n v="4978695"/>
        <n v="5264442"/>
        <n v="460803"/>
        <n v="5767358"/>
        <n v="459546"/>
        <n v="5727792"/>
        <n v="465294"/>
        <n v="5910591"/>
        <n v="464602"/>
        <n v="5922698"/>
        <n v="467295"/>
        <n v="5890331"/>
        <n v="5826520"/>
        <n v="5532080"/>
        <n v="466463"/>
        <n v="5804376"/>
        <n v="5947665"/>
        <n v="470287"/>
        <n v="5827658"/>
        <n v="469939"/>
        <n v="5788226"/>
        <n v="474383"/>
        <n v="5958152"/>
        <n v="6006189"/>
        <n v="5988611"/>
        <n v="471775"/>
        <n v="5904200"/>
        <n v="470880"/>
        <n v="6010630"/>
        <n v="470150"/>
        <n v="6097625"/>
        <n v="471495"/>
        <n v="6155853"/>
        <n v="469742"/>
        <n v="6634074"/>
        <n v="6620000"/>
        <n v="6533887"/>
        <n v="468847"/>
        <n v="6507149"/>
        <n v="466455"/>
        <n v="6558700"/>
        <n v="468485"/>
        <n v="6900000"/>
        <n v="470853"/>
        <n v="6852952"/>
        <n v="471492"/>
        <n v="6853411"/>
        <n v="6568000"/>
        <n v="6233816"/>
        <n v="471850"/>
        <n v="6400000"/>
        <n v="468300"/>
        <n v="6285883"/>
        <n v="466346"/>
        <n v="6354754"/>
        <n v="463515"/>
        <n v="6431900"/>
        <n v="462034"/>
        <n v="6249000"/>
        <n v="6176800"/>
        <n v="6248797"/>
        <n v="460808"/>
        <n v="6297800"/>
        <n v="459755"/>
        <n v="6250887"/>
        <n v="458457"/>
        <n v="6150000"/>
        <n v="459853"/>
        <n v="6310280"/>
        <n v="457262"/>
        <n v="6370330"/>
        <n v="6222314"/>
        <n v="6174351"/>
        <n v="455967"/>
        <n v="6374562"/>
        <n v="455144"/>
        <n v="6664314"/>
        <n v="454087"/>
        <n v="6699472"/>
        <n v="452040"/>
        <n v="6449812"/>
        <n v="448875"/>
        <n v="6297338"/>
        <n v="6255273"/>
        <n v="6236608"/>
        <n v="447582"/>
        <n v="6289800"/>
        <n v="443973"/>
        <n v="5945000"/>
        <n v="437287"/>
        <n v="5850002"/>
        <n v="437489"/>
        <n v="5768888"/>
        <n v="441588"/>
        <n v="5800000"/>
        <n v="5675901"/>
        <n v="5548687"/>
        <n v="441202"/>
        <n v="5615058"/>
        <n v="442997"/>
        <n v="5523153"/>
        <n v="436557"/>
        <n v="5580000"/>
        <n v="436923"/>
        <n v="5192783"/>
        <n v="435551"/>
        <n v="4978933"/>
        <n v="4925930"/>
        <n v="4834670"/>
        <n v="437519"/>
        <n v="4849568"/>
        <n v="438255"/>
        <n v="4409770"/>
        <n v="438557"/>
        <n v="4372663"/>
        <n v="441954"/>
        <n v="4277112"/>
        <n v="445730"/>
        <n v="4425076"/>
        <n v="4435000"/>
        <n v="4298506"/>
        <n v="446312"/>
        <n v="4515781"/>
        <n v="446540"/>
        <n v="4506297"/>
        <n v="441675"/>
        <n v="4423192"/>
        <n v="439487"/>
        <n v="4365553"/>
        <n v="440295"/>
        <n v="4583790"/>
        <n v="4833332"/>
        <n v="4880897"/>
        <n v="447152"/>
        <n v="4816596"/>
        <n v="448587"/>
        <n v="4850000"/>
        <n v="448687"/>
        <n v="4845516"/>
        <n v="448568"/>
        <n v="4749854"/>
        <n v="449299"/>
        <n v="4689700"/>
        <n v="4650462"/>
        <n v="4600133"/>
        <n v="452047"/>
        <n v="4681287"/>
        <n v="452990"/>
        <n v="4739638"/>
        <n v="452179"/>
        <n v="4688538"/>
        <n v="453538"/>
        <n v="5274448"/>
        <n v="5293878"/>
        <n v="5196268"/>
        <n v="5054541"/>
        <n v="454145"/>
        <n v="5104611"/>
        <n v="454585"/>
        <n v="5041200"/>
        <n v="453711"/>
        <n v="4993509"/>
        <n v="453139"/>
        <n v="4826159"/>
        <n v="453736"/>
        <n v="4873571"/>
        <n v="4940807"/>
        <n v="4965000"/>
        <n v="451333"/>
        <n v="4931326"/>
        <n v="449590"/>
        <n v="4805314"/>
        <n v="450171"/>
        <n v="4936542"/>
        <n v="449281"/>
        <n v="4986771"/>
        <n v="448988"/>
        <n v="5051799"/>
        <n v="5054019"/>
        <n v="4981254"/>
        <n v="444435"/>
        <n v="4940000"/>
        <n v="441861"/>
        <n v="4742413"/>
        <n v="445432"/>
        <n v="4603100"/>
        <n v="446212"/>
        <n v="4716294"/>
        <n v="448026"/>
        <n v="4774450"/>
        <n v="4804425"/>
        <n v="4818151"/>
        <n v="446837"/>
        <n v="4790000"/>
        <n v="446177"/>
        <n v="4602308"/>
        <n v="444944"/>
        <n v="4677500"/>
        <n v="444521"/>
        <n v="4618347"/>
        <n v="443939"/>
        <n v="4672986"/>
        <n v="4538681"/>
        <n v="4483759"/>
        <n v="444082"/>
        <n v="4379242"/>
        <n v="442976"/>
        <n v="4143118"/>
        <n v="441617"/>
        <n v="3997396"/>
        <n v="442379"/>
        <n v="3882481"/>
        <n v="442218"/>
        <n v="4044658"/>
        <n v="4247528"/>
        <n v="4260000"/>
        <n v="441225"/>
        <n v="4240000"/>
        <n v="4063914"/>
        <n v="441547"/>
        <n v="4092846"/>
        <n v="441638"/>
        <n v="4036657"/>
        <n v="442273"/>
        <n v="4057245"/>
        <n v="3978293"/>
        <n v="3452550"/>
        <n v="441518"/>
        <n v="3380000"/>
        <n v="436987"/>
        <n v="3280646"/>
        <n v="435970"/>
        <n v="3295000"/>
        <n v="433684"/>
        <n v="3000572"/>
        <n v="429640"/>
        <n v="3189059"/>
        <n v="3220055"/>
        <n v="3243707"/>
        <n v="437509"/>
        <n v="3225221"/>
        <n v="436902"/>
        <n v="3269172"/>
        <n v="439368"/>
        <n v="3318999"/>
        <n v="439237"/>
        <n v="3333471"/>
        <n v="438668"/>
        <n v="3467021"/>
        <n v="3460200"/>
        <n v="3419526"/>
        <n v="437160"/>
        <n v="3426253"/>
        <n v="433088"/>
        <n v="3349324"/>
        <n v="436188"/>
        <n v="3509828"/>
        <n v="435646"/>
        <n v="3511432"/>
        <n v="3455972"/>
        <n v="3598571"/>
        <n v="3494256"/>
        <n v="435543"/>
        <n v="3392645"/>
        <n v="432066"/>
        <n v="3447555"/>
        <n v="430243"/>
        <n v="3533325"/>
        <n v="430052"/>
        <n v="3666180"/>
        <n v="429214"/>
        <n v="3528603"/>
        <n v="3498342"/>
        <n v="3320959"/>
        <n v="428612"/>
        <n v="3510000"/>
        <n v="427128"/>
        <n v="3527490"/>
        <n v="425660"/>
        <n v="3485120"/>
        <n v="425584"/>
        <n v="3439205"/>
        <n v="422624"/>
        <n v="3470268"/>
        <n v="3612813"/>
        <n v="3646463"/>
        <n v="420478"/>
        <n v="3812909"/>
        <n v="423229"/>
        <n v="3957503"/>
        <n v="425189"/>
        <n v="4049002"/>
        <n v="425716"/>
        <n v="4138002"/>
        <n v="425559"/>
        <n v="4106077"/>
        <n v="3981672"/>
        <n v="3622280"/>
        <n v="424838"/>
        <n v="3769000"/>
        <n v="424974"/>
        <n v="3843702"/>
        <n v="423709"/>
        <n v="3767660"/>
        <n v="423674"/>
        <n v="3384146"/>
        <n v="423234"/>
        <n v="3679803"/>
        <n v="3681209"/>
        <n v="3791857"/>
        <n v="423345"/>
        <n v="3796361"/>
        <n v="420439"/>
        <n v="3948791"/>
        <n v="421737"/>
        <n v="3825640"/>
        <n v="423412"/>
        <n v="3744802"/>
        <n v="3791287"/>
        <n v="3652324"/>
        <n v="3732000"/>
        <n v="421836"/>
        <n v="3827159"/>
        <n v="421338"/>
        <n v="4043240"/>
        <n v="420261"/>
        <n v="4086120"/>
        <n v="421342"/>
        <n v="3976096"/>
        <n v="420952"/>
        <n v="3995365"/>
        <n v="3748418"/>
        <n v="3886115"/>
        <n v="418872"/>
        <n v="4179674"/>
        <n v="417280"/>
        <n v="4262543"/>
        <n v="411693"/>
        <n v="4086740"/>
        <n v="416915"/>
        <n v="4586017"/>
        <n v="417192"/>
        <n v="4583348"/>
        <n v="4979000"/>
        <n v="4990000"/>
        <n v="418313"/>
        <n v="5157516"/>
        <n v="413158"/>
        <n v="5138995"/>
        <n v="413473"/>
        <n v="5799826"/>
        <n v="416204"/>
        <n v="5789800"/>
        <n v="423639"/>
        <n v="5958499"/>
        <n v="5948134"/>
        <n v="5956000"/>
        <n v="423804"/>
        <n v="5875000"/>
        <n v="420270"/>
        <n v="5846593"/>
        <n v="418772"/>
        <n v="5797407"/>
        <n v="417904"/>
        <n v="5665950"/>
        <n v="420939"/>
        <n v="5898852"/>
        <n v="5829335"/>
        <n v="419810"/>
        <n v="5855371"/>
        <n v="421878"/>
        <n v="5475536"/>
        <n v="420153"/>
        <n v="5647472"/>
        <n v="419335"/>
        <n v="419419"/>
        <n v="5441957"/>
        <n v="5256777"/>
        <n v="5115001"/>
        <n v="419417"/>
        <n v="5138003"/>
        <n v="417957"/>
        <n v="5549999"/>
        <n v="417502"/>
        <n v="5637300"/>
        <n v="415918"/>
        <n v="5714534"/>
        <n v="418081"/>
        <n v="5762466"/>
        <n v="5740404"/>
        <n v="6254578"/>
        <n v="419131"/>
        <n v="6299868"/>
        <n v="417349"/>
        <n v="6385512"/>
        <n v="415169"/>
        <n v="6490000"/>
        <n v="414800"/>
        <n v="6388000"/>
        <n v="413176"/>
        <n v="6119709"/>
        <n v="6041642"/>
        <n v="6118000"/>
        <n v="412948"/>
        <n v="5917000"/>
        <n v="409819"/>
        <n v="5840000"/>
        <n v="408313"/>
        <n v="5867579"/>
        <n v="408623"/>
        <n v="5902819"/>
        <n v="408342"/>
        <n v="5946895"/>
        <n v="5850094"/>
        <n v="5985152"/>
        <n v="5995000"/>
        <n v="402063"/>
        <n v="6010000"/>
        <n v="399441"/>
        <n v="5980000"/>
        <n v="396801"/>
        <n v="5938500"/>
        <n v="398183"/>
        <n v="5843077"/>
        <n v="5657623"/>
        <n v="5662433"/>
        <n v="397819"/>
        <n v="5562721"/>
        <n v="391954"/>
        <n v="5323452"/>
        <n v="394208"/>
        <n v="5724500"/>
        <n v="394913"/>
        <n v="5590362"/>
        <n v="395531"/>
        <n v="5844536"/>
        <n v="5816458"/>
        <n v="5988000"/>
        <n v="393012"/>
        <n v="5944839"/>
        <n v="396962"/>
        <n v="6009999"/>
        <n v="398387"/>
        <n v="5956759"/>
        <n v="398104"/>
        <n v="5718578"/>
        <n v="397008"/>
        <n v="6056159"/>
        <n v="6150082"/>
        <n v="6178500"/>
        <n v="394499"/>
        <n v="5795922"/>
        <n v="396027"/>
        <n v="5812000"/>
        <n v="391735"/>
        <n v="5740000"/>
        <n v="390376"/>
        <n v="5584768"/>
        <n v="388106"/>
        <n v="5412600"/>
        <n v="5183215"/>
        <n v="4991573"/>
        <n v="385169"/>
        <n v="4945561"/>
        <n v="384367"/>
        <n v="5075439"/>
        <n v="387447"/>
        <n v="5273720"/>
        <n v="390641"/>
        <n v="4975722"/>
        <n v="391450"/>
        <n v="4692000"/>
        <n v="4838014"/>
        <n v="386108"/>
        <n v="4847208"/>
        <n v="392502"/>
        <n v="5207400"/>
        <n v="392865"/>
        <n v="5144201"/>
        <n v="389598"/>
        <n v="5229487"/>
        <n v="390292"/>
        <n v="5665147"/>
        <n v="5848160"/>
        <n v="5750000"/>
        <n v="393041"/>
        <n v="5660560"/>
        <n v="392198"/>
        <n v="5234400"/>
        <n v="393361"/>
        <n v="5266845"/>
        <n v="395043"/>
        <n v="5060234"/>
        <n v="4960000"/>
        <n v="4970000"/>
        <n v="4802730"/>
        <n v="393723"/>
        <n v="4824660"/>
        <n v="392599"/>
        <n v="4897500"/>
        <n v="393150"/>
        <n v="4736717"/>
        <n v="391835"/>
        <n v="4820123"/>
        <n v="391577"/>
        <n v="4751931"/>
        <n v="3974896"/>
        <n v="4100000"/>
        <n v="389456"/>
        <n v="3970000"/>
        <n v="387242"/>
        <n v="3878599"/>
        <n v="384751"/>
        <n v="3837500"/>
        <n v="384309"/>
        <n v="3654505"/>
        <n v="378432"/>
        <n v="3470000"/>
        <n v="3420500"/>
        <n v="3480565"/>
        <n v="377805"/>
        <n v="3866571"/>
        <n v="383050"/>
        <n v="3467177"/>
        <n v="383683"/>
        <n v="3205973"/>
        <n v="387090"/>
        <n v="3295100"/>
        <n v="385923"/>
        <n v="3488556"/>
        <n v="3367218"/>
        <n v="3347949"/>
        <n v="385231"/>
        <n v="3388000"/>
        <n v="386145"/>
        <n v="3500000"/>
        <n v="385975"/>
        <n v="3596495"/>
        <n v="380453"/>
        <n v="3793420"/>
        <n v="3746921"/>
        <n v="3684011"/>
        <n v="3794971"/>
        <n v="378873"/>
        <n v="3884996"/>
        <n v="382360"/>
        <n v="4011279"/>
        <n v="382096"/>
        <n v="3818833"/>
        <n v="381078"/>
        <n v="3665134"/>
        <n v="381786"/>
        <n v="3632325"/>
        <n v="4119662"/>
        <n v="4147021"/>
        <n v="382669"/>
        <n v="4199999"/>
        <n v="381155"/>
        <n v="4039600"/>
        <n v="378304"/>
        <n v="3782448"/>
        <n v="373783"/>
        <n v="3453629"/>
        <n v="376999"/>
        <n v="3366900"/>
        <m/>
      </sharedItems>
    </cacheField>
    <cacheField name="Low" numFmtId="3">
      <sharedItems containsString="0" containsBlank="1" containsNumber="1" containsInteger="1" minValue="366271" maxValue="6626248"/>
    </cacheField>
    <cacheField name="Close" numFmtId="3">
      <sharedItems containsString="0" containsBlank="1" containsNumber="1" containsInteger="1" minValue="370065" maxValue="6852575"/>
    </cacheField>
    <cacheField name="Volume" numFmtId="3">
      <sharedItems containsString="0" containsBlank="1" containsNumber="1" containsInteger="1" minValue="28830" maxValue="987804000000"/>
    </cacheField>
    <cacheField name="Month (old2)" numFmtId="0">
      <sharedItems containsBlank="1"/>
    </cacheField>
    <cacheField name="Symbol" numFmtId="0">
      <sharedItems containsBlank="1" count="3">
        <s v="SP500"/>
        <s v="BTCUSD"/>
        <m/>
      </sharedItems>
    </cacheField>
    <cacheField name="Months" numFmtId="0" databaseField="0">
      <fieldGroup base="0">
        <rangePr groupBy="months" startDate="2021-01-04T00:00:00" endDate="2022-01-01T00:00:00"/>
        <groupItems count="14">
          <s v="&lt;04/01/202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1/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1">
  <r>
    <n v="476618"/>
    <n v="244619000000"/>
    <s v="December"/>
    <x v="0"/>
    <x v="0"/>
  </r>
  <r>
    <n v="4680683"/>
    <n v="159171"/>
    <s v="Dec"/>
    <x v="1"/>
    <x v="0"/>
  </r>
  <r>
    <n v="477873"/>
    <n v="239099000000"/>
    <s v="December"/>
    <x v="0"/>
    <x v="0"/>
  </r>
  <r>
    <n v="4720799"/>
    <n v="99841"/>
    <s v="Dec"/>
    <x v="1"/>
    <x v="0"/>
  </r>
  <r>
    <n v="479306"/>
    <n v="236937000000"/>
    <s v="December"/>
    <x v="0"/>
    <x v="0"/>
  </r>
  <r>
    <n v="4650244"/>
    <n v="111963"/>
    <s v="Dec"/>
    <x v="1"/>
    <x v="0"/>
  </r>
  <r>
    <n v="478635"/>
    <n v="221705000000"/>
    <s v="December"/>
    <x v="0"/>
    <x v="0"/>
  </r>
  <r>
    <n v="4801793"/>
    <n v="127501"/>
    <s v="Dec"/>
    <x v="1"/>
    <x v="0"/>
  </r>
  <r>
    <n v="479119"/>
    <n v="226412000000"/>
    <s v="December"/>
    <x v="0"/>
    <x v="0"/>
  </r>
  <r>
    <n v="4982179"/>
    <n v="89604"/>
    <s v="Dec"/>
    <x v="1"/>
    <x v="0"/>
  </r>
  <r>
    <n v="5103612"/>
    <n v="48924"/>
    <s v="Dec"/>
    <x v="1"/>
    <x v="0"/>
  </r>
  <r>
    <n v="4970521"/>
    <n v="40067"/>
    <s v="Dec"/>
    <x v="1"/>
    <x v="0"/>
  </r>
  <r>
    <n v="5087231"/>
    <n v="55812"/>
    <s v="Dec"/>
    <x v="1"/>
    <x v="0"/>
  </r>
  <r>
    <n v="472579"/>
    <n v="219463000000"/>
    <s v="December"/>
    <x v="0"/>
    <x v="0"/>
  </r>
  <r>
    <n v="5106784"/>
    <n v="100126"/>
    <s v="Dec"/>
    <x v="1"/>
    <x v="0"/>
  </r>
  <r>
    <n v="469656"/>
    <n v="243957000000"/>
    <s v="December"/>
    <x v="0"/>
    <x v="0"/>
  </r>
  <r>
    <n v="4854538"/>
    <n v="72680"/>
    <s v="Dec"/>
    <x v="1"/>
    <x v="0"/>
  </r>
  <r>
    <n v="464923"/>
    <n v="256437000000"/>
    <s v="December"/>
    <x v="0"/>
    <x v="0"/>
  </r>
  <r>
    <n v="4926344"/>
    <n v="123589"/>
    <s v="Dec"/>
    <x v="1"/>
    <x v="0"/>
  </r>
  <r>
    <n v="456802"/>
    <n v="339578000000"/>
    <s v="December"/>
    <x v="0"/>
    <x v="0"/>
  </r>
  <r>
    <n v="4795456"/>
    <n v="95470"/>
    <s v="Dec"/>
    <x v="1"/>
    <x v="0"/>
  </r>
  <r>
    <n v="4670908"/>
    <n v="67052"/>
    <s v="Dec"/>
    <x v="1"/>
    <x v="0"/>
  </r>
  <r>
    <n v="4774599"/>
    <n v="50098"/>
    <s v="Dec"/>
    <x v="1"/>
    <x v="0"/>
  </r>
  <r>
    <n v="462064"/>
    <n v="560978000000"/>
    <s v="December"/>
    <x v="0"/>
    <x v="0"/>
  </r>
  <r>
    <n v="4631219"/>
    <n v="129410"/>
    <s v="Dec"/>
    <x v="1"/>
    <x v="0"/>
  </r>
  <r>
    <n v="466867"/>
    <n v="359281000000"/>
    <s v="December"/>
    <x v="0"/>
    <x v="0"/>
  </r>
  <r>
    <n v="4777980"/>
    <n v="88167"/>
    <s v="Dec"/>
    <x v="1"/>
    <x v="0"/>
  </r>
  <r>
    <n v="470985"/>
    <n v="336758000000"/>
    <s v="December"/>
    <x v="0"/>
    <x v="0"/>
  </r>
  <r>
    <n v="4883859"/>
    <n v="168417"/>
    <s v="Dec"/>
    <x v="1"/>
    <x v="0"/>
  </r>
  <r>
    <n v="463409"/>
    <n v="329274000000"/>
    <s v="December"/>
    <x v="0"/>
    <x v="0"/>
  </r>
  <r>
    <n v="4828050"/>
    <n v="102612"/>
    <s v="Dec"/>
    <x v="1"/>
    <x v="0"/>
  </r>
  <r>
    <n v="466897"/>
    <n v="332205000000"/>
    <s v="December"/>
    <x v="0"/>
    <x v="0"/>
  </r>
  <r>
    <n v="4696847"/>
    <n v="174904"/>
    <s v="Dec"/>
    <x v="1"/>
    <x v="0"/>
  </r>
  <r>
    <n v="4889975"/>
    <n v="77955"/>
    <s v="Dec"/>
    <x v="1"/>
    <x v="0"/>
  </r>
  <r>
    <n v="4933366"/>
    <n v="62386"/>
    <s v="Dec"/>
    <x v="1"/>
    <x v="0"/>
  </r>
  <r>
    <n v="471202"/>
    <n v="285831000000"/>
    <s v="December"/>
    <x v="0"/>
    <x v="0"/>
  </r>
  <r>
    <n v="4833111"/>
    <n v="76672"/>
    <s v="Dec"/>
    <x v="1"/>
    <x v="0"/>
  </r>
  <r>
    <n v="466745"/>
    <n v="285166000000"/>
    <s v="December"/>
    <x v="0"/>
    <x v="0"/>
  </r>
  <r>
    <n v="4840503"/>
    <n v="168680"/>
    <s v="Dec"/>
    <x v="1"/>
    <x v="0"/>
  </r>
  <r>
    <n v="470121"/>
    <n v="306155000000"/>
    <s v="December"/>
    <x v="0"/>
    <x v="0"/>
  </r>
  <r>
    <n v="4956740"/>
    <n v="121560"/>
    <s v="Dec"/>
    <x v="1"/>
    <x v="0"/>
  </r>
  <r>
    <n v="468675"/>
    <n v="333432000000"/>
    <s v="December"/>
    <x v="0"/>
    <x v="0"/>
  </r>
  <r>
    <n v="5016248"/>
    <n v="122079"/>
    <s v="Dec"/>
    <x v="1"/>
    <x v="0"/>
  </r>
  <r>
    <n v="459167"/>
    <n v="330569000000"/>
    <s v="December"/>
    <x v="0"/>
    <x v="0"/>
  </r>
  <r>
    <n v="5101243"/>
    <n v="213933"/>
    <s v="Dec"/>
    <x v="1"/>
    <x v="0"/>
  </r>
  <r>
    <n v="4910301"/>
    <n v="369703"/>
    <s v="Dec"/>
    <x v="1"/>
    <x v="0"/>
  </r>
  <r>
    <n v="4924956"/>
    <n v="548689"/>
    <s v="Dec"/>
    <x v="1"/>
    <x v="0"/>
  </r>
  <r>
    <n v="453843"/>
    <n v="397150000000"/>
    <s v="December"/>
    <x v="0"/>
    <x v="0"/>
  </r>
  <r>
    <n v="5205590"/>
    <n v="178477"/>
    <s v="Dec"/>
    <x v="1"/>
    <x v="0"/>
  </r>
  <r>
    <n v="457710"/>
    <n v="377151000000"/>
    <s v="December"/>
    <x v="0"/>
    <x v="0"/>
  </r>
  <r>
    <n v="5638025"/>
    <n v="114049"/>
    <s v="Dec"/>
    <x v="1"/>
    <x v="0"/>
  </r>
  <r>
    <n v="451304"/>
    <n v="407826000000"/>
    <s v="December"/>
    <x v="0"/>
    <x v="0"/>
  </r>
  <r>
    <n v="5636219"/>
    <n v="142043"/>
    <s v="Dec"/>
    <x v="1"/>
    <x v="0"/>
  </r>
  <r>
    <n v="456700"/>
    <n v="495019000000"/>
    <s v="November"/>
    <x v="0"/>
    <x v="1"/>
  </r>
  <r>
    <n v="5740447"/>
    <n v="148728"/>
    <s v="Nov"/>
    <x v="1"/>
    <x v="1"/>
  </r>
  <r>
    <n v="465527"/>
    <n v="347138000000"/>
    <s v="November"/>
    <x v="0"/>
    <x v="1"/>
  </r>
  <r>
    <n v="5716387"/>
    <n v="105704"/>
    <s v="Nov"/>
    <x v="1"/>
    <x v="1"/>
  </r>
  <r>
    <n v="5740061"/>
    <n v="79075"/>
    <s v="Nov"/>
    <x v="1"/>
    <x v="1"/>
  </r>
  <r>
    <n v="5416185"/>
    <n v="55651"/>
    <s v="Nov"/>
    <x v="1"/>
    <x v="1"/>
  </r>
  <r>
    <n v="459462"/>
    <n v="267674000000"/>
    <s v="November"/>
    <x v="0"/>
    <x v="1"/>
  </r>
  <r>
    <n v="5440903"/>
    <n v="280410"/>
    <s v="Nov"/>
    <x v="1"/>
    <x v="1"/>
  </r>
  <r>
    <n v="5795235"/>
    <n v="62899"/>
    <s v="Nov"/>
    <x v="1"/>
    <x v="1"/>
  </r>
  <r>
    <n v="470146"/>
    <n v="246404000000"/>
    <s v="November"/>
    <x v="0"/>
    <x v="1"/>
  </r>
  <r>
    <n v="5775625"/>
    <n v="110516"/>
    <s v="Nov"/>
    <x v="1"/>
    <x v="1"/>
  </r>
  <r>
    <n v="469070"/>
    <n v="342878000000"/>
    <s v="November"/>
    <x v="0"/>
    <x v="1"/>
  </r>
  <r>
    <n v="5642350"/>
    <n v="158478"/>
    <s v="Nov"/>
    <x v="1"/>
    <x v="1"/>
  </r>
  <r>
    <n v="468294"/>
    <n v="320628000000"/>
    <s v="November"/>
    <x v="0"/>
    <x v="1"/>
  </r>
  <r>
    <n v="5697538"/>
    <n v="143031"/>
    <s v="Nov"/>
    <x v="1"/>
    <x v="1"/>
  </r>
  <r>
    <n v="5744038"/>
    <n v="64959"/>
    <s v="Nov"/>
    <x v="1"/>
    <x v="1"/>
  </r>
  <r>
    <n v="5874106"/>
    <n v="77779"/>
    <s v="Nov"/>
    <x v="1"/>
    <x v="1"/>
  </r>
  <r>
    <n v="469796"/>
    <n v="326560000000"/>
    <s v="November"/>
    <x v="0"/>
    <x v="1"/>
  </r>
  <r>
    <n v="5859683"/>
    <n v="148312"/>
    <s v="Nov"/>
    <x v="1"/>
    <x v="1"/>
  </r>
  <r>
    <n v="470454"/>
    <n v="333562000000"/>
    <s v="November"/>
    <x v="0"/>
    <x v="1"/>
  </r>
  <r>
    <n v="5591116"/>
    <n v="399942"/>
    <s v="Nov"/>
    <x v="1"/>
    <x v="1"/>
  </r>
  <r>
    <n v="468867"/>
    <n v="322125000000"/>
    <s v="November"/>
    <x v="0"/>
    <x v="1"/>
  </r>
  <r>
    <n v="5988521"/>
    <n v="179484"/>
    <s v="Nov"/>
    <x v="1"/>
    <x v="1"/>
  </r>
  <r>
    <n v="470090"/>
    <n v="283821000000"/>
    <s v="November"/>
    <x v="0"/>
    <x v="1"/>
  </r>
  <r>
    <n v="5905045"/>
    <n v="272520"/>
    <s v="Nov"/>
    <x v="1"/>
    <x v="1"/>
  </r>
  <r>
    <n v="468280"/>
    <n v="261898000000"/>
    <s v="November"/>
    <x v="0"/>
    <x v="1"/>
  </r>
  <r>
    <n v="6094413"/>
    <n v="179080"/>
    <s v="Nov"/>
    <x v="1"/>
    <x v="1"/>
  </r>
  <r>
    <n v="6574418"/>
    <n v="52850"/>
    <s v="Nov"/>
    <x v="1"/>
    <x v="1"/>
  </r>
  <r>
    <n v="6467328"/>
    <n v="31001"/>
    <s v="Nov"/>
    <x v="1"/>
    <x v="1"/>
  </r>
  <r>
    <n v="468285"/>
    <n v="286579000000"/>
    <s v="November"/>
    <x v="0"/>
    <x v="1"/>
  </r>
  <r>
    <n v="6380512"/>
    <n v="146629"/>
    <s v="Nov"/>
    <x v="1"/>
    <x v="1"/>
  </r>
  <r>
    <n v="464927"/>
    <n v="262314000000"/>
    <s v="November"/>
    <x v="0"/>
    <x v="1"/>
  </r>
  <r>
    <n v="6485763"/>
    <n v="105051"/>
    <s v="Nov"/>
    <x v="1"/>
    <x v="1"/>
  </r>
  <r>
    <n v="464671"/>
    <n v="358163000000"/>
    <s v="November"/>
    <x v="0"/>
    <x v="1"/>
  </r>
  <r>
    <n v="6478534"/>
    <n v="296658"/>
    <s v="Nov"/>
    <x v="1"/>
    <x v="1"/>
  </r>
  <r>
    <n v="468525"/>
    <n v="311023000000"/>
    <s v="November"/>
    <x v="0"/>
    <x v="1"/>
  </r>
  <r>
    <n v="6649125"/>
    <n v="122946"/>
    <s v="Nov"/>
    <x v="1"/>
    <x v="1"/>
  </r>
  <r>
    <n v="470170"/>
    <n v="346572000000"/>
    <s v="November"/>
    <x v="0"/>
    <x v="1"/>
  </r>
  <r>
    <n v="6852575"/>
    <n v="142108"/>
    <s v="Nov"/>
    <x v="1"/>
    <x v="1"/>
  </r>
  <r>
    <n v="6523520"/>
    <n v="89282"/>
    <s v="Nov"/>
    <x v="1"/>
    <x v="1"/>
  </r>
  <r>
    <n v="6219969"/>
    <n v="75838"/>
    <s v="Nov"/>
    <x v="1"/>
    <x v="1"/>
  </r>
  <r>
    <n v="469753"/>
    <n v="349115000000"/>
    <s v="November"/>
    <x v="0"/>
    <x v="1"/>
  </r>
  <r>
    <n v="6117203"/>
    <n v="104391"/>
    <s v="Nov"/>
    <x v="1"/>
    <x v="1"/>
  </r>
  <r>
    <n v="468006"/>
    <n v="333294000000"/>
    <s v="November"/>
    <x v="0"/>
    <x v="1"/>
  </r>
  <r>
    <n v="6224960"/>
    <n v="103653"/>
    <s v="Nov"/>
    <x v="1"/>
    <x v="1"/>
  </r>
  <r>
    <n v="466057"/>
    <n v="333944000000"/>
    <s v="November"/>
    <x v="0"/>
    <x v="1"/>
  </r>
  <r>
    <n v="6246983"/>
    <n v="144849"/>
    <s v="Nov"/>
    <x v="1"/>
    <x v="1"/>
  </r>
  <r>
    <n v="463065"/>
    <n v="330969000000"/>
    <s v="November"/>
    <x v="0"/>
    <x v="1"/>
  </r>
  <r>
    <n v="6325757"/>
    <n v="179190"/>
    <s v="Nov"/>
    <x v="1"/>
    <x v="1"/>
  </r>
  <r>
    <n v="461367"/>
    <n v="292400000000"/>
    <s v="November"/>
    <x v="0"/>
    <x v="1"/>
  </r>
  <r>
    <n v="6113324"/>
    <n v="148856"/>
    <s v="Nov"/>
    <x v="1"/>
    <x v="1"/>
  </r>
  <r>
    <n v="5994701"/>
    <n v="97565"/>
    <s v="Oct"/>
    <x v="1"/>
    <x v="2"/>
  </r>
  <r>
    <n v="6171910"/>
    <n v="111681"/>
    <s v="Oct"/>
    <x v="1"/>
    <x v="2"/>
  </r>
  <r>
    <n v="460538"/>
    <n v="363226000000"/>
    <s v="October"/>
    <x v="0"/>
    <x v="2"/>
  </r>
  <r>
    <n v="6166943"/>
    <n v="173713"/>
    <s v="Oct"/>
    <x v="1"/>
    <x v="2"/>
  </r>
  <r>
    <n v="459642"/>
    <n v="319756000000"/>
    <s v="October"/>
    <x v="0"/>
    <x v="2"/>
  </r>
  <r>
    <n v="6170636"/>
    <n v="278979"/>
    <s v="Oct"/>
    <x v="1"/>
    <x v="2"/>
  </r>
  <r>
    <n v="455168"/>
    <n v="325951000000"/>
    <s v="October"/>
    <x v="0"/>
    <x v="2"/>
  </r>
  <r>
    <n v="5888470"/>
    <n v="186512"/>
    <s v="Oct"/>
    <x v="1"/>
    <x v="2"/>
  </r>
  <r>
    <n v="457479"/>
    <n v="286650000000"/>
    <s v="October"/>
    <x v="0"/>
    <x v="2"/>
  </r>
  <r>
    <n v="6072800"/>
    <n v="127871"/>
    <s v="Oct"/>
    <x v="1"/>
    <x v="2"/>
  </r>
  <r>
    <n v="456648"/>
    <n v="325021000000"/>
    <s v="October"/>
    <x v="0"/>
    <x v="2"/>
  </r>
  <r>
    <n v="6276547"/>
    <n v="147709"/>
    <s v="Oct"/>
    <x v="1"/>
    <x v="2"/>
  </r>
  <r>
    <n v="6209193"/>
    <n v="84870"/>
    <s v="Oct"/>
    <x v="1"/>
    <x v="2"/>
  </r>
  <r>
    <n v="6122600"/>
    <n v="54368"/>
    <s v="Oct"/>
    <x v="1"/>
    <x v="2"/>
  </r>
  <r>
    <n v="454490"/>
    <n v="306281000000"/>
    <s v="October"/>
    <x v="0"/>
    <x v="2"/>
  </r>
  <r>
    <n v="6123490"/>
    <n v="165299"/>
    <s v="Oct"/>
    <x v="1"/>
    <x v="2"/>
  </r>
  <r>
    <n v="454978"/>
    <n v="301695000000"/>
    <s v="October"/>
    <x v="0"/>
    <x v="2"/>
  </r>
  <r>
    <n v="6324340"/>
    <n v="290873"/>
    <s v="Oct"/>
    <x v="1"/>
    <x v="2"/>
  </r>
  <r>
    <n v="453619"/>
    <n v="267156000000"/>
    <s v="October"/>
    <x v="0"/>
    <x v="2"/>
  </r>
  <r>
    <n v="6507799"/>
    <n v="283659"/>
    <s v="Oct"/>
    <x v="1"/>
    <x v="2"/>
  </r>
  <r>
    <n v="451963"/>
    <n v="253121000000"/>
    <s v="October"/>
    <x v="0"/>
    <x v="2"/>
  </r>
  <r>
    <n v="6387020"/>
    <n v="191415"/>
    <s v="Oct"/>
    <x v="1"/>
    <x v="2"/>
  </r>
  <r>
    <n v="448646"/>
    <n v="268354000000"/>
    <s v="October"/>
    <x v="0"/>
    <x v="2"/>
  </r>
  <r>
    <n v="6260000"/>
    <n v="263153"/>
    <s v="Oct"/>
    <x v="1"/>
    <x v="2"/>
  </r>
  <r>
    <n v="6210000"/>
    <n v="92951"/>
    <s v="Oct"/>
    <x v="1"/>
    <x v="2"/>
  </r>
  <r>
    <n v="6114442"/>
    <n v="86457"/>
    <s v="Oct"/>
    <x v="1"/>
    <x v="2"/>
  </r>
  <r>
    <n v="447137"/>
    <n v="300056000000"/>
    <s v="October"/>
    <x v="0"/>
    <x v="2"/>
  </r>
  <r>
    <n v="6162484"/>
    <n v="306946"/>
    <s v="Oct"/>
    <x v="1"/>
    <x v="2"/>
  </r>
  <r>
    <n v="443826"/>
    <n v="264292000000"/>
    <s v="October"/>
    <x v="0"/>
    <x v="2"/>
  </r>
  <r>
    <n v="5940755"/>
    <n v="116689"/>
    <s v="Oct"/>
    <x v="1"/>
    <x v="2"/>
  </r>
  <r>
    <n v="436380"/>
    <n v="292646000000"/>
    <s v="October"/>
    <x v="0"/>
    <x v="2"/>
  </r>
  <r>
    <n v="5807382"/>
    <n v="157470"/>
    <s v="Oct"/>
    <x v="1"/>
    <x v="2"/>
  </r>
  <r>
    <n v="435065"/>
    <n v="260815000000"/>
    <s v="October"/>
    <x v="0"/>
    <x v="2"/>
  </r>
  <r>
    <n v="5628906"/>
    <n v="171392"/>
    <s v="Oct"/>
    <x v="1"/>
    <x v="2"/>
  </r>
  <r>
    <n v="436119"/>
    <n v="258000000000"/>
    <s v="October"/>
    <x v="0"/>
    <x v="2"/>
  </r>
  <r>
    <n v="5671000"/>
    <n v="102791"/>
    <s v="Oct"/>
    <x v="1"/>
    <x v="2"/>
  </r>
  <r>
    <n v="5652058"/>
    <n v="116624"/>
    <s v="Oct"/>
    <x v="1"/>
    <x v="2"/>
  </r>
  <r>
    <n v="5504376"/>
    <n v="70772"/>
    <s v="Oct"/>
    <x v="1"/>
    <x v="2"/>
  </r>
  <r>
    <n v="439134"/>
    <n v="240189000000"/>
    <s v="October"/>
    <x v="0"/>
    <x v="2"/>
  </r>
  <r>
    <n v="5458800"/>
    <n v="148578"/>
    <s v="Oct"/>
    <x v="1"/>
    <x v="2"/>
  </r>
  <r>
    <n v="439976"/>
    <n v="309608000000"/>
    <s v="October"/>
    <x v="0"/>
    <x v="2"/>
  </r>
  <r>
    <n v="5382669"/>
    <n v="133883"/>
    <s v="Oct"/>
    <x v="1"/>
    <x v="2"/>
  </r>
  <r>
    <n v="436355"/>
    <n v="321959000000"/>
    <s v="October"/>
    <x v="0"/>
    <x v="2"/>
  </r>
  <r>
    <n v="5483890"/>
    <n v="328823"/>
    <s v="Oct"/>
    <x v="1"/>
    <x v="2"/>
  </r>
  <r>
    <n v="434572"/>
    <n v="296740000000"/>
    <s v="October"/>
    <x v="0"/>
    <x v="2"/>
  </r>
  <r>
    <n v="5156160"/>
    <n v="169152"/>
    <s v="Oct"/>
    <x v="1"/>
    <x v="2"/>
  </r>
  <r>
    <n v="430046"/>
    <n v="311056000000"/>
    <s v="October"/>
    <x v="0"/>
    <x v="2"/>
  </r>
  <r>
    <n v="4932094"/>
    <n v="175541"/>
    <s v="Oct"/>
    <x v="1"/>
    <x v="2"/>
  </r>
  <r>
    <n v="4750965"/>
    <n v="86480"/>
    <s v="Oct"/>
    <x v="1"/>
    <x v="2"/>
  </r>
  <r>
    <n v="4789979"/>
    <n v="76186"/>
    <s v="Oct"/>
    <x v="1"/>
    <x v="2"/>
  </r>
  <r>
    <n v="435704"/>
    <n v="314898000000"/>
    <s v="October"/>
    <x v="0"/>
    <x v="2"/>
  </r>
  <r>
    <n v="4755551"/>
    <n v="325402"/>
    <s v="Oct"/>
    <x v="1"/>
    <x v="2"/>
  </r>
  <r>
    <n v="430754"/>
    <n v="312377000000"/>
    <s v="September"/>
    <x v="0"/>
    <x v="3"/>
  </r>
  <r>
    <n v="4362816"/>
    <n v="189152"/>
    <s v="Sep"/>
    <x v="1"/>
    <x v="3"/>
  </r>
  <r>
    <n v="435946"/>
    <n v="275380000000"/>
    <s v="September"/>
    <x v="0"/>
    <x v="3"/>
  </r>
  <r>
    <n v="4360120"/>
    <n v="151158"/>
    <s v="Sep"/>
    <x v="1"/>
    <x v="3"/>
  </r>
  <r>
    <n v="435263"/>
    <n v="349597000000"/>
    <s v="September"/>
    <x v="0"/>
    <x v="3"/>
  </r>
  <r>
    <n v="4221047"/>
    <n v="210450"/>
    <s v="Sep"/>
    <x v="1"/>
    <x v="3"/>
  </r>
  <r>
    <n v="444311"/>
    <n v="303287000000"/>
    <s v="September"/>
    <x v="0"/>
    <x v="3"/>
  </r>
  <r>
    <n v="4256516"/>
    <n v="153106"/>
    <s v="Sep"/>
    <x v="1"/>
    <x v="3"/>
  </r>
  <r>
    <n v="4402427"/>
    <n v="139568"/>
    <s v="Sep"/>
    <x v="1"/>
    <x v="3"/>
  </r>
  <r>
    <n v="4223994"/>
    <n v="105807"/>
    <s v="Sep"/>
    <x v="1"/>
    <x v="3"/>
  </r>
  <r>
    <n v="445548"/>
    <n v="277209000000"/>
    <s v="September"/>
    <x v="0"/>
    <x v="3"/>
  </r>
  <r>
    <n v="4265000"/>
    <n v="439827"/>
    <s v="Sep"/>
    <x v="1"/>
    <x v="3"/>
  </r>
  <r>
    <n v="444898"/>
    <n v="283329000000"/>
    <s v="September"/>
    <x v="0"/>
    <x v="3"/>
  </r>
  <r>
    <n v="4430100"/>
    <n v="169982"/>
    <s v="Sep"/>
    <x v="1"/>
    <x v="3"/>
  </r>
  <r>
    <n v="439564"/>
    <n v="327367000000"/>
    <s v="September"/>
    <x v="0"/>
    <x v="3"/>
  </r>
  <r>
    <n v="4409455"/>
    <n v="123861"/>
    <s v="Sep"/>
    <x v="1"/>
    <x v="3"/>
  </r>
  <r>
    <n v="435419"/>
    <n v="304430000000"/>
    <s v="September"/>
    <x v="0"/>
    <x v="3"/>
  </r>
  <r>
    <n v="4208988"/>
    <n v="296261"/>
    <s v="Sep"/>
    <x v="1"/>
    <x v="3"/>
  </r>
  <r>
    <n v="435773"/>
    <n v="377368000000"/>
    <s v="September"/>
    <x v="0"/>
    <x v="3"/>
  </r>
  <r>
    <n v="4268803"/>
    <n v="437338"/>
    <s v="Sep"/>
    <x v="1"/>
    <x v="3"/>
  </r>
  <r>
    <n v="4555362"/>
    <n v="86071"/>
    <s v="Sep"/>
    <x v="1"/>
    <x v="3"/>
  </r>
  <r>
    <n v="4785423"/>
    <n v="67136"/>
    <s v="Sep"/>
    <x v="1"/>
    <x v="3"/>
  </r>
  <r>
    <n v="443299"/>
    <n v="562221000000"/>
    <s v="September"/>
    <x v="0"/>
    <x v="3"/>
  </r>
  <r>
    <n v="4796279"/>
    <n v="124738"/>
    <s v="Sep"/>
    <x v="1"/>
    <x v="3"/>
  </r>
  <r>
    <n v="447375"/>
    <n v="332103000000"/>
    <s v="September"/>
    <x v="0"/>
    <x v="3"/>
  </r>
  <r>
    <n v="4790700"/>
    <n v="106957"/>
    <s v="Sep"/>
    <x v="1"/>
    <x v="3"/>
  </r>
  <r>
    <n v="448070"/>
    <n v="315476000000"/>
    <s v="September"/>
    <x v="0"/>
    <x v="3"/>
  </r>
  <r>
    <n v="4762910"/>
    <n v="127662"/>
    <s v="Sep"/>
    <x v="1"/>
    <x v="3"/>
  </r>
  <r>
    <n v="444305"/>
    <n v="256873000000"/>
    <s v="September"/>
    <x v="0"/>
    <x v="3"/>
  </r>
  <r>
    <n v="4710127"/>
    <n v="151606"/>
    <s v="Sep"/>
    <x v="1"/>
    <x v="3"/>
  </r>
  <r>
    <n v="446873"/>
    <n v="309639000000"/>
    <s v="September"/>
    <x v="0"/>
    <x v="3"/>
  </r>
  <r>
    <n v="4520643"/>
    <n v="242225"/>
    <s v="Sep"/>
    <x v="1"/>
    <x v="3"/>
  </r>
  <r>
    <n v="4461912"/>
    <n v="89338"/>
    <s v="Sep"/>
    <x v="1"/>
    <x v="3"/>
  </r>
  <r>
    <n v="4531146"/>
    <n v="68532"/>
    <s v="Sep"/>
    <x v="1"/>
    <x v="3"/>
  </r>
  <r>
    <n v="445858"/>
    <n v="285114000000"/>
    <s v="September"/>
    <x v="0"/>
    <x v="3"/>
  </r>
  <r>
    <n v="4518152"/>
    <n v="178343"/>
    <s v="Sep"/>
    <x v="1"/>
    <x v="3"/>
  </r>
  <r>
    <n v="449328"/>
    <n v="303530000000"/>
    <s v="September"/>
    <x v="0"/>
    <x v="3"/>
  </r>
  <r>
    <n v="4674340"/>
    <n v="156322"/>
    <s v="Sep"/>
    <x v="1"/>
    <x v="3"/>
  </r>
  <r>
    <n v="451407"/>
    <n v="280848000000"/>
    <s v="September"/>
    <x v="0"/>
    <x v="3"/>
  </r>
  <r>
    <n v="4600527"/>
    <n v="227731"/>
    <s v="Sep"/>
    <x v="1"/>
    <x v="3"/>
  </r>
  <r>
    <n v="452003"/>
    <n v="309887000000"/>
    <s v="September"/>
    <x v="0"/>
    <x v="3"/>
  </r>
  <r>
    <n v="4649038"/>
    <n v="451357"/>
    <s v="Sep"/>
    <x v="1"/>
    <x v="3"/>
  </r>
  <r>
    <n v="5266345"/>
    <n v="140874"/>
    <s v="Sep"/>
    <x v="1"/>
    <x v="3"/>
  </r>
  <r>
    <n v="5163818"/>
    <n v="123114"/>
    <s v="Sep"/>
    <x v="1"/>
    <x v="3"/>
  </r>
  <r>
    <n v="4969222"/>
    <n v="116715"/>
    <s v="Sep"/>
    <x v="1"/>
    <x v="3"/>
  </r>
  <r>
    <n v="453543"/>
    <n v="260966000000"/>
    <s v="September"/>
    <x v="0"/>
    <x v="3"/>
  </r>
  <r>
    <n v="5029202"/>
    <n v="111440"/>
    <s v="Sep"/>
    <x v="1"/>
    <x v="3"/>
  </r>
  <r>
    <n v="453695"/>
    <n v="289701000000"/>
    <s v="September"/>
    <x v="0"/>
    <x v="3"/>
  </r>
  <r>
    <n v="4948500"/>
    <n v="88544"/>
    <s v="Sep"/>
    <x v="1"/>
    <x v="3"/>
  </r>
  <r>
    <n v="452409"/>
    <n v="310183000000"/>
    <s v="September"/>
    <x v="0"/>
    <x v="3"/>
  </r>
  <r>
    <n v="4959674"/>
    <n v="110514"/>
    <s v="Sep"/>
    <x v="1"/>
    <x v="3"/>
  </r>
  <r>
    <n v="452268"/>
    <n v="309038000000"/>
    <s v="August"/>
    <x v="0"/>
    <x v="4"/>
  </r>
  <r>
    <n v="4705284"/>
    <n v="101919"/>
    <s v="Aug"/>
    <x v="1"/>
    <x v="4"/>
  </r>
  <r>
    <n v="452879"/>
    <n v="255730000000"/>
    <s v="August"/>
    <x v="0"/>
    <x v="4"/>
  </r>
  <r>
    <n v="4715191"/>
    <n v="93328"/>
    <s v="Aug"/>
    <x v="1"/>
    <x v="4"/>
  </r>
  <r>
    <n v="4798958"/>
    <n v="44677"/>
    <s v="Aug"/>
    <x v="1"/>
    <x v="4"/>
  </r>
  <r>
    <n v="4826719"/>
    <n v="54426"/>
    <s v="Aug"/>
    <x v="1"/>
    <x v="4"/>
  </r>
  <r>
    <n v="450937"/>
    <n v="286236000000"/>
    <s v="August"/>
    <x v="0"/>
    <x v="4"/>
  </r>
  <r>
    <n v="4890001"/>
    <n v="138321"/>
    <s v="Aug"/>
    <x v="1"/>
    <x v="4"/>
  </r>
  <r>
    <n v="447000"/>
    <n v="270460000000"/>
    <s v="August"/>
    <x v="0"/>
    <x v="4"/>
  </r>
  <r>
    <n v="4684594"/>
    <n v="220500"/>
    <s v="Aug"/>
    <x v="1"/>
    <x v="4"/>
  </r>
  <r>
    <n v="449619"/>
    <n v="255468000000"/>
    <s v="August"/>
    <x v="0"/>
    <x v="4"/>
  </r>
  <r>
    <n v="4793100"/>
    <n v="166641"/>
    <s v="Aug"/>
    <x v="1"/>
    <x v="4"/>
  </r>
  <r>
    <n v="448623"/>
    <n v="303777000000"/>
    <s v="August"/>
    <x v="0"/>
    <x v="4"/>
  </r>
  <r>
    <n v="4799578"/>
    <n v="136987"/>
    <s v="Aug"/>
    <x v="1"/>
    <x v="4"/>
  </r>
  <r>
    <n v="447953"/>
    <n v="296552000000"/>
    <s v="August"/>
    <x v="0"/>
    <x v="4"/>
  </r>
  <r>
    <n v="4935000"/>
    <n v="105166"/>
    <s v="Aug"/>
    <x v="1"/>
    <x v="4"/>
  </r>
  <r>
    <n v="5028905"/>
    <n v="97481"/>
    <s v="Aug"/>
    <x v="1"/>
    <x v="4"/>
  </r>
  <r>
    <n v="4883762"/>
    <n v="121311"/>
    <s v="Aug"/>
    <x v="1"/>
    <x v="4"/>
  </r>
  <r>
    <n v="444167"/>
    <n v="286777000000"/>
    <s v="August"/>
    <x v="0"/>
    <x v="4"/>
  </r>
  <r>
    <n v="4883962"/>
    <n v="132832"/>
    <s v="Aug"/>
    <x v="1"/>
    <x v="4"/>
  </r>
  <r>
    <n v="440580"/>
    <n v="312084000000"/>
    <s v="August"/>
    <x v="0"/>
    <x v="4"/>
  </r>
  <r>
    <n v="4704228"/>
    <n v="156600"/>
    <s v="Aug"/>
    <x v="1"/>
    <x v="4"/>
  </r>
  <r>
    <n v="440027"/>
    <n v="296521000000"/>
    <s v="August"/>
    <x v="0"/>
    <x v="4"/>
  </r>
  <r>
    <n v="4407477"/>
    <n v="132473"/>
    <s v="Aug"/>
    <x v="1"/>
    <x v="4"/>
  </r>
  <r>
    <n v="444808"/>
    <n v="288400000000"/>
    <s v="August"/>
    <x v="0"/>
    <x v="4"/>
  </r>
  <r>
    <n v="4507879"/>
    <n v="214938"/>
    <s v="Aug"/>
    <x v="1"/>
    <x v="4"/>
  </r>
  <r>
    <n v="447971"/>
    <n v="270717000000"/>
    <s v="August"/>
    <x v="0"/>
    <x v="4"/>
  </r>
  <r>
    <n v="4643544"/>
    <n v="168708"/>
    <s v="Aug"/>
    <x v="1"/>
    <x v="4"/>
  </r>
  <r>
    <n v="4740089"/>
    <n v="136076"/>
    <s v="Aug"/>
    <x v="1"/>
    <x v="4"/>
  </r>
  <r>
    <n v="4691099"/>
    <n v="111209"/>
    <s v="Aug"/>
    <x v="1"/>
    <x v="4"/>
  </r>
  <r>
    <n v="446800"/>
    <n v="237163000000"/>
    <s v="August"/>
    <x v="0"/>
    <x v="4"/>
  </r>
  <r>
    <n v="4757164"/>
    <n v="160957"/>
    <s v="Aug"/>
    <x v="1"/>
    <x v="4"/>
  </r>
  <r>
    <n v="446083"/>
    <n v="254386000000"/>
    <s v="August"/>
    <x v="0"/>
    <x v="4"/>
  </r>
  <r>
    <n v="4520546"/>
    <n v="184077"/>
    <s v="Aug"/>
    <x v="1"/>
    <x v="4"/>
  </r>
  <r>
    <n v="444241"/>
    <n v="280306000000"/>
    <s v="August"/>
    <x v="0"/>
    <x v="4"/>
  </r>
  <r>
    <n v="4594806"/>
    <n v="156584"/>
    <s v="Aug"/>
    <x v="1"/>
    <x v="4"/>
  </r>
  <r>
    <n v="443675"/>
    <n v="321984000000"/>
    <s v="August"/>
    <x v="0"/>
    <x v="4"/>
  </r>
  <r>
    <n v="4559416"/>
    <n v="176899"/>
    <s v="Aug"/>
    <x v="1"/>
    <x v="4"/>
  </r>
  <r>
    <n v="443235"/>
    <n v="277988000000"/>
    <s v="August"/>
    <x v="0"/>
    <x v="4"/>
  </r>
  <r>
    <n v="4572739"/>
    <n v="309230"/>
    <s v="Aug"/>
    <x v="1"/>
    <x v="4"/>
  </r>
  <r>
    <n v="4352934"/>
    <n v="202349"/>
    <s v="Aug"/>
    <x v="1"/>
    <x v="4"/>
  </r>
  <r>
    <n v="4439134"/>
    <n v="333616"/>
    <s v="Aug"/>
    <x v="1"/>
    <x v="4"/>
  </r>
  <r>
    <n v="443652"/>
    <n v="283997000000"/>
    <s v="August"/>
    <x v="0"/>
    <x v="4"/>
  </r>
  <r>
    <n v="4372000"/>
    <n v="223833"/>
    <s v="Aug"/>
    <x v="1"/>
    <x v="4"/>
  </r>
  <r>
    <n v="442910"/>
    <n v="273422000000"/>
    <s v="August"/>
    <x v="0"/>
    <x v="4"/>
  </r>
  <r>
    <n v="4025079"/>
    <n v="371550"/>
    <s v="Aug"/>
    <x v="1"/>
    <x v="4"/>
  </r>
  <r>
    <n v="440266"/>
    <n v="338262000000"/>
    <s v="August"/>
    <x v="0"/>
    <x v="4"/>
  </r>
  <r>
    <n v="3944062"/>
    <n v="191135"/>
    <s v="Aug"/>
    <x v="1"/>
    <x v="4"/>
  </r>
  <r>
    <n v="442315"/>
    <n v="330534000000"/>
    <s v="August"/>
    <x v="0"/>
    <x v="4"/>
  </r>
  <r>
    <n v="3796225"/>
    <n v="275052"/>
    <s v="Aug"/>
    <x v="1"/>
    <x v="4"/>
  </r>
  <r>
    <n v="438716"/>
    <n v="291994000000"/>
    <s v="August"/>
    <x v="0"/>
    <x v="4"/>
  </r>
  <r>
    <n v="3865000"/>
    <n v="181510"/>
    <s v="Aug"/>
    <x v="1"/>
    <x v="4"/>
  </r>
  <r>
    <n v="3981154"/>
    <n v="123792"/>
    <s v="Aug"/>
    <x v="1"/>
    <x v="4"/>
  </r>
  <r>
    <n v="4246113"/>
    <n v="68736"/>
    <s v="Jul"/>
    <x v="1"/>
    <x v="5"/>
  </r>
  <r>
    <n v="439526"/>
    <n v="286160000000"/>
    <s v="July"/>
    <x v="0"/>
    <x v="5"/>
  </r>
  <r>
    <n v="4184036"/>
    <n v="260084"/>
    <s v="Jul"/>
    <x v="1"/>
    <x v="5"/>
  </r>
  <r>
    <n v="441915"/>
    <n v="281551000000"/>
    <s v="July"/>
    <x v="0"/>
    <x v="5"/>
  </r>
  <r>
    <n v="3998279"/>
    <n v="156172"/>
    <s v="Jul"/>
    <x v="1"/>
    <x v="5"/>
  </r>
  <r>
    <n v="440064"/>
    <n v="321513000000"/>
    <s v="July"/>
    <x v="0"/>
    <x v="5"/>
  </r>
  <r>
    <n v="3963877"/>
    <n v="368236"/>
    <s v="Jul"/>
    <x v="1"/>
    <x v="5"/>
  </r>
  <r>
    <n v="440146"/>
    <n v="338108000000"/>
    <s v="July"/>
    <x v="0"/>
    <x v="5"/>
  </r>
  <r>
    <n v="3984844"/>
    <n v="572911"/>
    <s v="Jul"/>
    <x v="1"/>
    <x v="5"/>
  </r>
  <r>
    <n v="442230"/>
    <n v="267911000000"/>
    <s v="July"/>
    <x v="0"/>
    <x v="5"/>
  </r>
  <r>
    <n v="3685152"/>
    <n v="502111"/>
    <s v="Jul"/>
    <x v="1"/>
    <x v="5"/>
  </r>
  <r>
    <n v="3831257"/>
    <n v="355808"/>
    <s v="Jul"/>
    <x v="1"/>
    <x v="5"/>
  </r>
  <r>
    <n v="3419214"/>
    <n v="78546"/>
    <s v="Jul"/>
    <x v="1"/>
    <x v="5"/>
  </r>
  <r>
    <n v="441179"/>
    <n v="349073000000"/>
    <s v="July"/>
    <x v="0"/>
    <x v="5"/>
  </r>
  <r>
    <n v="3368958"/>
    <n v="131958"/>
    <s v="Jul"/>
    <x v="1"/>
    <x v="5"/>
  </r>
  <r>
    <n v="436748"/>
    <n v="290791000000"/>
    <s v="July"/>
    <x v="0"/>
    <x v="5"/>
  </r>
  <r>
    <n v="3259843"/>
    <n v="122310"/>
    <s v="Jul"/>
    <x v="1"/>
    <x v="5"/>
  </r>
  <r>
    <n v="435869"/>
    <n v="307855000000"/>
    <s v="July"/>
    <x v="0"/>
    <x v="5"/>
  </r>
  <r>
    <n v="3194752"/>
    <n v="302328"/>
    <s v="Jul"/>
    <x v="1"/>
    <x v="5"/>
  </r>
  <r>
    <n v="432306"/>
    <n v="363419000000"/>
    <s v="July"/>
    <x v="0"/>
    <x v="5"/>
  </r>
  <r>
    <n v="2985386"/>
    <n v="207528"/>
    <s v="Jul"/>
    <x v="1"/>
    <x v="5"/>
  </r>
  <r>
    <n v="425849"/>
    <n v="415579000000"/>
    <s v="July"/>
    <x v="0"/>
    <x v="5"/>
  </r>
  <r>
    <n v="2960535"/>
    <n v="218444"/>
    <s v="Jul"/>
    <x v="1"/>
    <x v="5"/>
  </r>
  <r>
    <n v="3154722"/>
    <n v="57289"/>
    <s v="Jul"/>
    <x v="1"/>
    <x v="5"/>
  </r>
  <r>
    <n v="3216982"/>
    <n v="76531"/>
    <s v="Jul"/>
    <x v="1"/>
    <x v="5"/>
  </r>
  <r>
    <n v="432716"/>
    <n v="316516000000"/>
    <s v="July"/>
    <x v="0"/>
    <x v="5"/>
  </r>
  <r>
    <n v="3131383"/>
    <n v="135502"/>
    <s v="Jul"/>
    <x v="1"/>
    <x v="5"/>
  </r>
  <r>
    <n v="436003"/>
    <n v="322693000000"/>
    <s v="July"/>
    <x v="0"/>
    <x v="5"/>
  </r>
  <r>
    <n v="3192493"/>
    <n v="153441"/>
    <s v="Jul"/>
    <x v="1"/>
    <x v="5"/>
  </r>
  <r>
    <n v="437430"/>
    <n v="321387000000"/>
    <s v="July"/>
    <x v="0"/>
    <x v="5"/>
  </r>
  <r>
    <n v="3267154"/>
    <n v="108312"/>
    <s v="Jul"/>
    <x v="1"/>
    <x v="5"/>
  </r>
  <r>
    <n v="436921"/>
    <n v="316690000000"/>
    <s v="July"/>
    <x v="0"/>
    <x v="5"/>
  </r>
  <r>
    <n v="3185369"/>
    <n v="128207"/>
    <s v="Jul"/>
    <x v="1"/>
    <x v="5"/>
  </r>
  <r>
    <n v="438463"/>
    <n v="298398000000"/>
    <s v="July"/>
    <x v="0"/>
    <x v="5"/>
  </r>
  <r>
    <n v="3308726"/>
    <n v="132229"/>
    <s v="Jul"/>
    <x v="1"/>
    <x v="5"/>
  </r>
  <r>
    <n v="3445239"/>
    <n v="81686"/>
    <s v="Jul"/>
    <x v="1"/>
    <x v="5"/>
  </r>
  <r>
    <n v="3342084"/>
    <n v="80355"/>
    <s v="Jul"/>
    <x v="1"/>
    <x v="5"/>
  </r>
  <r>
    <n v="436955"/>
    <n v="273828000000"/>
    <s v="July"/>
    <x v="0"/>
    <x v="5"/>
  </r>
  <r>
    <n v="3379981"/>
    <n v="127326"/>
    <s v="Jul"/>
    <x v="1"/>
    <x v="5"/>
  </r>
  <r>
    <n v="432082"/>
    <n v="339378000000"/>
    <s v="July"/>
    <x v="0"/>
    <x v="5"/>
  </r>
  <r>
    <n v="3295475"/>
    <n v="206301"/>
    <s v="Jul"/>
    <x v="1"/>
    <x v="5"/>
  </r>
  <r>
    <n v="435813"/>
    <n v="324390000000"/>
    <s v="July"/>
    <x v="0"/>
    <x v="5"/>
  </r>
  <r>
    <n v="3333700"/>
    <n v="148576"/>
    <s v="Jul"/>
    <x v="1"/>
    <x v="5"/>
  </r>
  <r>
    <n v="434354"/>
    <n v="343790000000"/>
    <s v="July"/>
    <x v="0"/>
    <x v="5"/>
  </r>
  <r>
    <n v="3446535"/>
    <n v="203950"/>
    <s v="Jul"/>
    <x v="1"/>
    <x v="5"/>
  </r>
  <r>
    <n v="3394222"/>
    <n v="132366"/>
    <s v="Jul"/>
    <x v="1"/>
    <x v="5"/>
  </r>
  <r>
    <n v="3436084"/>
    <n v="107360"/>
    <s v="Jul"/>
    <x v="1"/>
    <x v="5"/>
  </r>
  <r>
    <n v="3467000"/>
    <n v="64793"/>
    <s v="Jul"/>
    <x v="1"/>
    <x v="5"/>
  </r>
  <r>
    <n v="435234"/>
    <n v="262855000000"/>
    <s v="July"/>
    <x v="0"/>
    <x v="5"/>
  </r>
  <r>
    <n v="3354048"/>
    <n v="132123"/>
    <s v="Jul"/>
    <x v="1"/>
    <x v="5"/>
  </r>
  <r>
    <n v="431994"/>
    <n v="307758000000"/>
    <s v="July"/>
    <x v="0"/>
    <x v="5"/>
  </r>
  <r>
    <n v="3293344"/>
    <n v="224046"/>
    <s v="Jul"/>
    <x v="1"/>
    <x v="5"/>
  </r>
  <r>
    <n v="429750"/>
    <n v="368788000000"/>
    <s v="June"/>
    <x v="0"/>
    <x v="6"/>
  </r>
  <r>
    <n v="3413204"/>
    <n v="203163"/>
    <s v="Jun"/>
    <x v="1"/>
    <x v="6"/>
  </r>
  <r>
    <n v="429180"/>
    <n v="304956000000"/>
    <s v="June"/>
    <x v="0"/>
    <x v="6"/>
  </r>
  <r>
    <n v="3509544"/>
    <n v="301266"/>
    <s v="Jun"/>
    <x v="1"/>
    <x v="6"/>
  </r>
  <r>
    <n v="429061"/>
    <n v="341561000000"/>
    <s v="June"/>
    <x v="0"/>
    <x v="6"/>
  </r>
  <r>
    <n v="3459162"/>
    <n v="292354"/>
    <s v="Jun"/>
    <x v="1"/>
    <x v="6"/>
  </r>
  <r>
    <n v="3438862"/>
    <n v="222939"/>
    <s v="Jun"/>
    <x v="1"/>
    <x v="6"/>
  </r>
  <r>
    <n v="3314918"/>
    <n v="358391"/>
    <s v="Jun"/>
    <x v="1"/>
    <x v="6"/>
  </r>
  <r>
    <n v="428070"/>
    <n v="624839000000"/>
    <s v="June"/>
    <x v="0"/>
    <x v="6"/>
  </r>
  <r>
    <n v="3198386"/>
    <n v="368214"/>
    <s v="Jun"/>
    <x v="1"/>
    <x v="6"/>
  </r>
  <r>
    <n v="426649"/>
    <n v="314168000000"/>
    <s v="June"/>
    <x v="0"/>
    <x v="6"/>
  </r>
  <r>
    <n v="3510000"/>
    <n v="225734"/>
    <s v="Jun"/>
    <x v="1"/>
    <x v="6"/>
  </r>
  <r>
    <n v="424184"/>
    <n v="317244000000"/>
    <s v="June"/>
    <x v="0"/>
    <x v="6"/>
  </r>
  <r>
    <n v="3260696"/>
    <n v="341398"/>
    <s v="Jun"/>
    <x v="1"/>
    <x v="6"/>
  </r>
  <r>
    <n v="424644"/>
    <n v="320876000000"/>
    <s v="June"/>
    <x v="0"/>
    <x v="6"/>
  </r>
  <r>
    <n v="3399288"/>
    <n v="1003663"/>
    <s v="Jun"/>
    <x v="1"/>
    <x v="6"/>
  </r>
  <r>
    <n v="422479"/>
    <n v="339174000000"/>
    <s v="June"/>
    <x v="0"/>
    <x v="6"/>
  </r>
  <r>
    <n v="3302977"/>
    <n v="715394"/>
    <s v="Jun"/>
    <x v="1"/>
    <x v="6"/>
  </r>
  <r>
    <n v="3462988"/>
    <n v="281674"/>
    <s v="Jun"/>
    <x v="1"/>
    <x v="6"/>
  </r>
  <r>
    <n v="3552066"/>
    <n v="161101"/>
    <s v="Jun"/>
    <x v="1"/>
    <x v="6"/>
  </r>
  <r>
    <n v="416645"/>
    <n v="608498000000"/>
    <s v="June"/>
    <x v="0"/>
    <x v="6"/>
  </r>
  <r>
    <n v="3512923"/>
    <n v="295868"/>
    <s v="Jun"/>
    <x v="1"/>
    <x v="6"/>
  </r>
  <r>
    <n v="422186"/>
    <n v="395211000000"/>
    <s v="June"/>
    <x v="0"/>
    <x v="6"/>
  </r>
  <r>
    <n v="3793820"/>
    <n v="252423"/>
    <s v="Jun"/>
    <x v="1"/>
    <x v="6"/>
  </r>
  <r>
    <n v="422370"/>
    <n v="372205000000"/>
    <s v="June"/>
    <x v="0"/>
    <x v="6"/>
  </r>
  <r>
    <n v="3887500"/>
    <n v="278360"/>
    <s v="Jun"/>
    <x v="1"/>
    <x v="6"/>
  </r>
  <r>
    <n v="424659"/>
    <n v="357845000000"/>
    <s v="June"/>
    <x v="0"/>
    <x v="6"/>
  </r>
  <r>
    <n v="4004369"/>
    <n v="268761"/>
    <s v="Jun"/>
    <x v="1"/>
    <x v="6"/>
  </r>
  <r>
    <n v="425515"/>
    <n v="361205000000"/>
    <s v="June"/>
    <x v="0"/>
    <x v="6"/>
  </r>
  <r>
    <n v="4042938"/>
    <n v="271945"/>
    <s v="Jun"/>
    <x v="1"/>
    <x v="6"/>
  </r>
  <r>
    <n v="3898850"/>
    <n v="240683"/>
    <s v="Jun"/>
    <x v="1"/>
    <x v="6"/>
  </r>
  <r>
    <n v="3487730"/>
    <n v="129816"/>
    <s v="Jun"/>
    <x v="1"/>
    <x v="6"/>
  </r>
  <r>
    <n v="424744"/>
    <n v="320428000000"/>
    <s v="June"/>
    <x v="0"/>
    <x v="6"/>
  </r>
  <r>
    <n v="3559129"/>
    <n v="202780"/>
    <s v="Jun"/>
    <x v="1"/>
    <x v="6"/>
  </r>
  <r>
    <n v="423918"/>
    <n v="350248000000"/>
    <s v="June"/>
    <x v="0"/>
    <x v="6"/>
  </r>
  <r>
    <n v="3678437"/>
    <n v="295952"/>
    <s v="Jun"/>
    <x v="1"/>
    <x v="6"/>
  </r>
  <r>
    <n v="421955"/>
    <n v="390287000000"/>
    <s v="June"/>
    <x v="0"/>
    <x v="6"/>
  </r>
  <r>
    <n v="3698283"/>
    <n v="419037"/>
    <s v="Jun"/>
    <x v="1"/>
    <x v="6"/>
  </r>
  <r>
    <n v="422726"/>
    <n v="394387000000"/>
    <s v="June"/>
    <x v="0"/>
    <x v="6"/>
  </r>
  <r>
    <n v="3289806"/>
    <n v="514919"/>
    <s v="Jun"/>
    <x v="1"/>
    <x v="6"/>
  </r>
  <r>
    <n v="422652"/>
    <n v="383557000000"/>
    <s v="June"/>
    <x v="0"/>
    <x v="6"/>
  </r>
  <r>
    <n v="3284315"/>
    <n v="351860"/>
    <s v="Jun"/>
    <x v="1"/>
    <x v="6"/>
  </r>
  <r>
    <n v="3639750"/>
    <n v="100772"/>
    <s v="Jun"/>
    <x v="1"/>
    <x v="6"/>
  </r>
  <r>
    <n v="3602516"/>
    <n v="245443"/>
    <s v="Jun"/>
    <x v="1"/>
    <x v="6"/>
  </r>
  <r>
    <n v="422989"/>
    <n v="348707000000"/>
    <s v="June"/>
    <x v="0"/>
    <x v="6"/>
  </r>
  <r>
    <n v="3741982"/>
    <n v="230076"/>
    <s v="Jun"/>
    <x v="1"/>
    <x v="6"/>
  </r>
  <r>
    <n v="419285"/>
    <n v="457945000000"/>
    <s v="June"/>
    <x v="0"/>
    <x v="6"/>
  </r>
  <r>
    <n v="3796361"/>
    <n v="178628"/>
    <s v="Jun"/>
    <x v="1"/>
    <x v="6"/>
  </r>
  <r>
    <n v="420812"/>
    <n v="486093000000"/>
    <s v="June"/>
    <x v="0"/>
    <x v="6"/>
  </r>
  <r>
    <n v="3765554"/>
    <n v="161275"/>
    <s v="Jun"/>
    <x v="1"/>
    <x v="6"/>
  </r>
  <r>
    <n v="420204"/>
    <n v="412296000000"/>
    <s v="June"/>
    <x v="0"/>
    <x v="6"/>
  </r>
  <r>
    <n v="3648357"/>
    <n v="234726"/>
    <s v="Jun"/>
    <x v="1"/>
    <x v="6"/>
  </r>
  <r>
    <n v="3670288"/>
    <n v="164940"/>
    <s v="May"/>
    <x v="1"/>
    <x v="7"/>
  </r>
  <r>
    <n v="3453671"/>
    <n v="156238"/>
    <s v="May"/>
    <x v="1"/>
    <x v="7"/>
  </r>
  <r>
    <n v="3480529"/>
    <n v="221216"/>
    <s v="May"/>
    <x v="1"/>
    <x v="7"/>
  </r>
  <r>
    <n v="420411"/>
    <n v="419927000000"/>
    <s v="May"/>
    <x v="0"/>
    <x v="7"/>
  </r>
  <r>
    <n v="3650331"/>
    <n v="354135"/>
    <s v="May"/>
    <x v="1"/>
    <x v="7"/>
  </r>
  <r>
    <n v="420088"/>
    <n v="520111000000"/>
    <s v="May"/>
    <x v="0"/>
    <x v="7"/>
  </r>
  <r>
    <n v="3827159"/>
    <n v="214075"/>
    <s v="May"/>
    <x v="1"/>
    <x v="7"/>
  </r>
  <r>
    <n v="419599"/>
    <n v="367449000000"/>
    <s v="May"/>
    <x v="0"/>
    <x v="7"/>
  </r>
  <r>
    <n v="3767247"/>
    <n v="310107"/>
    <s v="May"/>
    <x v="1"/>
    <x v="7"/>
  </r>
  <r>
    <n v="418813"/>
    <n v="342087000000"/>
    <s v="May"/>
    <x v="0"/>
    <x v="7"/>
  </r>
  <r>
    <n v="3957233"/>
    <n v="290935"/>
    <s v="May"/>
    <x v="1"/>
    <x v="7"/>
  </r>
  <r>
    <n v="419705"/>
    <n v="294740000000"/>
    <s v="May"/>
    <x v="0"/>
    <x v="7"/>
  </r>
  <r>
    <n v="3838809"/>
    <n v="470608"/>
    <s v="May"/>
    <x v="1"/>
    <x v="7"/>
  </r>
  <r>
    <n v="3531886"/>
    <n v="714310"/>
    <s v="May"/>
    <x v="1"/>
    <x v="7"/>
  </r>
  <r>
    <n v="3748418"/>
    <n v="241886"/>
    <s v="May"/>
    <x v="1"/>
    <x v="7"/>
  </r>
  <r>
    <n v="415586"/>
    <n v="334462000000"/>
    <s v="May"/>
    <x v="0"/>
    <x v="7"/>
  </r>
  <r>
    <n v="3696352"/>
    <n v="749123"/>
    <s v="May"/>
    <x v="1"/>
    <x v="7"/>
  </r>
  <r>
    <n v="415912"/>
    <n v="301906000000"/>
    <s v="May"/>
    <x v="0"/>
    <x v="7"/>
  </r>
  <r>
    <n v="4077352"/>
    <n v="498139"/>
    <s v="May"/>
    <x v="1"/>
    <x v="7"/>
  </r>
  <r>
    <n v="411568"/>
    <n v="348555000000"/>
    <s v="May"/>
    <x v="0"/>
    <x v="7"/>
  </r>
  <r>
    <n v="3841114"/>
    <n v="1800098"/>
    <s v="May"/>
    <x v="1"/>
    <x v="7"/>
  </r>
  <r>
    <n v="412783"/>
    <n v="355979000000"/>
    <s v="May"/>
    <x v="0"/>
    <x v="7"/>
  </r>
  <r>
    <n v="4057098"/>
    <n v="477804"/>
    <s v="May"/>
    <x v="1"/>
    <x v="7"/>
  </r>
  <r>
    <n v="416329"/>
    <n v="330713000000"/>
    <s v="May"/>
    <x v="0"/>
    <x v="7"/>
  </r>
  <r>
    <n v="4482475"/>
    <n v="576437"/>
    <s v="May"/>
    <x v="1"/>
    <x v="7"/>
  </r>
  <r>
    <n v="4290209"/>
    <n v="393704"/>
    <s v="May"/>
    <x v="1"/>
    <x v="7"/>
  </r>
  <r>
    <n v="4838360"/>
    <n v="193826"/>
    <s v="May"/>
    <x v="1"/>
    <x v="7"/>
  </r>
  <r>
    <n v="417385"/>
    <n v="325192000000"/>
    <s v="May"/>
    <x v="0"/>
    <x v="7"/>
  </r>
  <r>
    <n v="4967085"/>
    <n v="200131"/>
    <s v="May"/>
    <x v="1"/>
    <x v="7"/>
  </r>
  <r>
    <n v="411250"/>
    <n v="368778000000"/>
    <s v="May"/>
    <x v="0"/>
    <x v="7"/>
  </r>
  <r>
    <n v="4922107"/>
    <n v="425047"/>
    <s v="May"/>
    <x v="1"/>
    <x v="7"/>
  </r>
  <r>
    <n v="406304"/>
    <n v="373508000000"/>
    <s v="May"/>
    <x v="0"/>
    <x v="7"/>
  </r>
  <r>
    <n v="5049311"/>
    <n v="643829"/>
    <s v="May"/>
    <x v="1"/>
    <x v="7"/>
  </r>
  <r>
    <n v="415210"/>
    <n v="359311000000"/>
    <s v="May"/>
    <x v="0"/>
    <x v="7"/>
  </r>
  <r>
    <n v="5782000"/>
    <n v="143256"/>
    <s v="May"/>
    <x v="1"/>
    <x v="7"/>
  </r>
  <r>
    <n v="418843"/>
    <n v="367897000000"/>
    <s v="May"/>
    <x v="0"/>
    <x v="7"/>
  </r>
  <r>
    <n v="5519475"/>
    <n v="258342"/>
    <s v="May"/>
    <x v="1"/>
    <x v="7"/>
  </r>
  <r>
    <n v="5940778"/>
    <n v="171038"/>
    <s v="May"/>
    <x v="1"/>
    <x v="7"/>
  </r>
  <r>
    <n v="5854516"/>
    <n v="169208"/>
    <s v="May"/>
    <x v="1"/>
    <x v="7"/>
  </r>
  <r>
    <n v="423260"/>
    <n v="401306000000"/>
    <s v="May"/>
    <x v="0"/>
    <x v="7"/>
  </r>
  <r>
    <n v="5818776"/>
    <n v="159120"/>
    <s v="May"/>
    <x v="1"/>
    <x v="7"/>
  </r>
  <r>
    <n v="420162"/>
    <n v="450486000000"/>
    <s v="May"/>
    <x v="0"/>
    <x v="7"/>
  </r>
  <r>
    <n v="5576228"/>
    <n v="149490"/>
    <s v="May"/>
    <x v="1"/>
    <x v="7"/>
  </r>
  <r>
    <n v="416759"/>
    <n v="402905000000"/>
    <s v="May"/>
    <x v="0"/>
    <x v="7"/>
  </r>
  <r>
    <n v="5690044"/>
    <n v="243066"/>
    <s v="May"/>
    <x v="1"/>
    <x v="7"/>
  </r>
  <r>
    <n v="416466"/>
    <n v="444108000000"/>
    <s v="May"/>
    <x v="0"/>
    <x v="7"/>
  </r>
  <r>
    <n v="5483220"/>
    <n v="288008"/>
    <s v="May"/>
    <x v="1"/>
    <x v="7"/>
  </r>
  <r>
    <n v="419266"/>
    <n v="406117000000"/>
    <s v="May"/>
    <x v="0"/>
    <x v="7"/>
  </r>
  <r>
    <n v="5551137"/>
    <n v="236315"/>
    <s v="May"/>
    <x v="1"/>
    <x v="7"/>
  </r>
  <r>
    <n v="5797074"/>
    <n v="65363"/>
    <s v="May"/>
    <x v="1"/>
    <x v="7"/>
  </r>
  <r>
    <n v="418117"/>
    <n v="427368000000"/>
    <s v="April"/>
    <x v="0"/>
    <x v="8"/>
  </r>
  <r>
    <n v="5827225"/>
    <n v="186951"/>
    <s v="Apr"/>
    <x v="1"/>
    <x v="8"/>
  </r>
  <r>
    <n v="421147"/>
    <n v="428894000000"/>
    <s v="April"/>
    <x v="0"/>
    <x v="8"/>
  </r>
  <r>
    <n v="5375001"/>
    <n v="156101"/>
    <s v="Apr"/>
    <x v="1"/>
    <x v="8"/>
  </r>
  <r>
    <n v="418318"/>
    <n v="377239000000"/>
    <s v="April"/>
    <x v="0"/>
    <x v="8"/>
  </r>
  <r>
    <n v="5431241"/>
    <n v="162845"/>
    <s v="Apr"/>
    <x v="1"/>
    <x v="8"/>
  </r>
  <r>
    <n v="418672"/>
    <n v="370324000000"/>
    <s v="April"/>
    <x v="0"/>
    <x v="8"/>
  </r>
  <r>
    <n v="5488325"/>
    <n v="150858"/>
    <s v="Apr"/>
    <x v="1"/>
    <x v="8"/>
  </r>
  <r>
    <n v="418762"/>
    <n v="373892000000"/>
    <s v="April"/>
    <x v="0"/>
    <x v="8"/>
  </r>
  <r>
    <n v="5353194"/>
    <n v="180488"/>
    <s v="Apr"/>
    <x v="1"/>
    <x v="8"/>
  </r>
  <r>
    <n v="5243590"/>
    <n v="266293"/>
    <s v="Apr"/>
    <x v="1"/>
    <x v="8"/>
  </r>
  <r>
    <n v="4972197"/>
    <n v="94326"/>
    <s v="Apr"/>
    <x v="1"/>
    <x v="8"/>
  </r>
  <r>
    <n v="418017"/>
    <n v="356808000000"/>
    <s v="April"/>
    <x v="0"/>
    <x v="8"/>
  </r>
  <r>
    <n v="5019542"/>
    <n v="325051"/>
    <s v="Apr"/>
    <x v="1"/>
    <x v="8"/>
  </r>
  <r>
    <n v="413498"/>
    <n v="423504000000"/>
    <s v="April"/>
    <x v="0"/>
    <x v="8"/>
  </r>
  <r>
    <n v="5032966"/>
    <n v="441570"/>
    <s v="Apr"/>
    <x v="1"/>
    <x v="8"/>
  </r>
  <r>
    <n v="417342"/>
    <n v="386582000000"/>
    <s v="April"/>
    <x v="0"/>
    <x v="8"/>
  </r>
  <r>
    <n v="5350808"/>
    <n v="224311"/>
    <s v="Apr"/>
    <x v="1"/>
    <x v="8"/>
  </r>
  <r>
    <n v="413494"/>
    <n v="433823000000"/>
    <s v="April"/>
    <x v="0"/>
    <x v="8"/>
  </r>
  <r>
    <n v="5525557"/>
    <n v="235391"/>
    <s v="Apr"/>
    <x v="1"/>
    <x v="8"/>
  </r>
  <r>
    <n v="416326"/>
    <n v="378802000000"/>
    <s v="April"/>
    <x v="0"/>
    <x v="8"/>
  </r>
  <r>
    <n v="5458665"/>
    <n v="283289"/>
    <s v="Apr"/>
    <x v="1"/>
    <x v="8"/>
  </r>
  <r>
    <n v="5717561"/>
    <n v="372030"/>
    <s v="Apr"/>
    <x v="1"/>
    <x v="8"/>
  </r>
  <r>
    <n v="5599297"/>
    <n v="258609"/>
    <s v="Apr"/>
    <x v="1"/>
    <x v="8"/>
  </r>
  <r>
    <n v="418547"/>
    <n v="415743000000"/>
    <s v="April"/>
    <x v="0"/>
    <x v="8"/>
  </r>
  <r>
    <n v="6245000"/>
    <n v="231960"/>
    <s v="Apr"/>
    <x v="1"/>
    <x v="8"/>
  </r>
  <r>
    <n v="417042"/>
    <n v="402768000000"/>
    <s v="April"/>
    <x v="0"/>
    <x v="8"/>
  </r>
  <r>
    <n v="6299868"/>
    <n v="132855"/>
    <s v="Apr"/>
    <x v="1"/>
    <x v="8"/>
  </r>
  <r>
    <n v="412466"/>
    <n v="397654000000"/>
    <s v="April"/>
    <x v="0"/>
    <x v="8"/>
  </r>
  <r>
    <n v="6306372"/>
    <n v="292203"/>
    <s v="Apr"/>
    <x v="1"/>
    <x v="8"/>
  </r>
  <r>
    <n v="414159"/>
    <n v="372844000000"/>
    <s v="April"/>
    <x v="0"/>
    <x v="8"/>
  </r>
  <r>
    <n v="6377318"/>
    <n v="209143"/>
    <s v="Apr"/>
    <x v="1"/>
    <x v="8"/>
  </r>
  <r>
    <n v="412799"/>
    <n v="357850000000"/>
    <s v="April"/>
    <x v="0"/>
    <x v="8"/>
  </r>
  <r>
    <n v="6041591"/>
    <n v="134329"/>
    <s v="Apr"/>
    <x v="1"/>
    <x v="8"/>
  </r>
  <r>
    <n v="6032566"/>
    <n v="64447"/>
    <s v="Apr"/>
    <x v="1"/>
    <x v="8"/>
  </r>
  <r>
    <n v="6024083"/>
    <n v="134477"/>
    <s v="Apr"/>
    <x v="1"/>
    <x v="8"/>
  </r>
  <r>
    <n v="412880"/>
    <n v="363491000000"/>
    <s v="April"/>
    <x v="0"/>
    <x v="8"/>
  </r>
  <r>
    <n v="5916000"/>
    <n v="93034"/>
    <s v="Apr"/>
    <x v="1"/>
    <x v="8"/>
  </r>
  <r>
    <n v="409717"/>
    <n v="390191000000"/>
    <s v="April"/>
    <x v="0"/>
    <x v="8"/>
  </r>
  <r>
    <n v="5801419"/>
    <n v="76292"/>
    <s v="Apr"/>
    <x v="1"/>
    <x v="8"/>
  </r>
  <r>
    <n v="407995"/>
    <n v="411264000000"/>
    <s v="April"/>
    <x v="0"/>
    <x v="8"/>
  </r>
  <r>
    <n v="5655959"/>
    <n v="199491"/>
    <s v="Apr"/>
    <x v="1"/>
    <x v="8"/>
  </r>
  <r>
    <n v="407394"/>
    <n v="402788000000"/>
    <s v="April"/>
    <x v="0"/>
    <x v="8"/>
  </r>
  <r>
    <n v="5793416"/>
    <n v="117372"/>
    <s v="Apr"/>
    <x v="1"/>
    <x v="8"/>
  </r>
  <r>
    <n v="407791"/>
    <n v="399976000000"/>
    <s v="April"/>
    <x v="0"/>
    <x v="8"/>
  </r>
  <r>
    <n v="5863814"/>
    <n v="84518"/>
    <s v="Apr"/>
    <x v="1"/>
    <x v="8"/>
  </r>
  <r>
    <n v="5747964"/>
    <n v="28830"/>
    <s v="Apr"/>
    <x v="1"/>
    <x v="8"/>
  </r>
  <r>
    <n v="5755771"/>
    <n v="83445"/>
    <s v="Apr"/>
    <x v="1"/>
    <x v="8"/>
  </r>
  <r>
    <n v="5925104"/>
    <n v="76064"/>
    <s v="Apr"/>
    <x v="1"/>
    <x v="8"/>
  </r>
  <r>
    <n v="401987"/>
    <n v="415124000000"/>
    <s v="April"/>
    <x v="0"/>
    <x v="8"/>
  </r>
  <r>
    <n v="5980000"/>
    <n v="122100"/>
    <s v="Apr"/>
    <x v="1"/>
    <x v="8"/>
  </r>
  <r>
    <n v="397289"/>
    <n v="456498000000"/>
    <s v="March"/>
    <x v="0"/>
    <x v="9"/>
  </r>
  <r>
    <n v="5914358"/>
    <n v="167955"/>
    <s v="Mar"/>
    <x v="1"/>
    <x v="9"/>
  </r>
  <r>
    <n v="395855"/>
    <n v="410357000000"/>
    <s v="March"/>
    <x v="0"/>
    <x v="9"/>
  </r>
  <r>
    <n v="5862167"/>
    <n v="93397"/>
    <s v="Mar"/>
    <x v="1"/>
    <x v="9"/>
  </r>
  <r>
    <n v="397109"/>
    <n v="461984000000"/>
    <s v="March"/>
    <x v="0"/>
    <x v="9"/>
  </r>
  <r>
    <n v="5715581"/>
    <n v="202026"/>
    <s v="Mar"/>
    <x v="1"/>
    <x v="9"/>
  </r>
  <r>
    <n v="5535100"/>
    <n v="45344"/>
    <s v="Mar"/>
    <x v="1"/>
    <x v="9"/>
  </r>
  <r>
    <n v="5609403"/>
    <n v="73037"/>
    <s v="Mar"/>
    <x v="1"/>
    <x v="9"/>
  </r>
  <r>
    <n v="397454"/>
    <n v="546785000000"/>
    <s v="March"/>
    <x v="0"/>
    <x v="9"/>
  </r>
  <r>
    <n v="5480402"/>
    <n v="165531"/>
    <s v="Mar"/>
    <x v="1"/>
    <x v="9"/>
  </r>
  <r>
    <n v="390952"/>
    <n v="494080000000"/>
    <s v="March"/>
    <x v="0"/>
    <x v="9"/>
  </r>
  <r>
    <n v="5245080"/>
    <n v="173699"/>
    <s v="Mar"/>
    <x v="1"/>
    <x v="9"/>
  </r>
  <r>
    <n v="388914"/>
    <n v="476699000000"/>
    <s v="March"/>
    <x v="0"/>
    <x v="9"/>
  </r>
  <r>
    <n v="5215285"/>
    <n v="255602"/>
    <s v="Mar"/>
    <x v="1"/>
    <x v="9"/>
  </r>
  <r>
    <n v="391052"/>
    <n v="464534000000"/>
    <s v="March"/>
    <x v="0"/>
    <x v="9"/>
  </r>
  <r>
    <n v="5437512"/>
    <n v="191614"/>
    <s v="Mar"/>
    <x v="1"/>
    <x v="9"/>
  </r>
  <r>
    <n v="394059"/>
    <n v="431138000000"/>
    <s v="March"/>
    <x v="0"/>
    <x v="9"/>
  </r>
  <r>
    <n v="5471081"/>
    <n v="177120"/>
    <s v="Mar"/>
    <x v="1"/>
    <x v="9"/>
  </r>
  <r>
    <n v="5755147"/>
    <n v="78135"/>
    <s v="Mar"/>
    <x v="1"/>
    <x v="9"/>
  </r>
  <r>
    <n v="5783332"/>
    <n v="77422"/>
    <s v="Mar"/>
    <x v="1"/>
    <x v="9"/>
  </r>
  <r>
    <n v="391310"/>
    <n v="772505000000"/>
    <s v="March"/>
    <x v="0"/>
    <x v="9"/>
  </r>
  <r>
    <n v="5842890"/>
    <n v="101417"/>
    <s v="Mar"/>
    <x v="1"/>
    <x v="9"/>
  </r>
  <r>
    <n v="391546"/>
    <n v="404317000000"/>
    <s v="March"/>
    <x v="0"/>
    <x v="9"/>
  </r>
  <r>
    <n v="5779371"/>
    <n v="159438"/>
    <s v="Mar"/>
    <x v="1"/>
    <x v="9"/>
  </r>
  <r>
    <n v="397412"/>
    <n v="454162000000"/>
    <s v="March"/>
    <x v="0"/>
    <x v="9"/>
  </r>
  <r>
    <n v="5868736"/>
    <n v="195094"/>
    <s v="Mar"/>
    <x v="1"/>
    <x v="9"/>
  </r>
  <r>
    <n v="396271"/>
    <n v="460487000000"/>
    <s v="March"/>
    <x v="0"/>
    <x v="9"/>
  </r>
  <r>
    <n v="5554873"/>
    <n v="135097"/>
    <s v="Mar"/>
    <x v="1"/>
    <x v="9"/>
  </r>
  <r>
    <n v="396894"/>
    <n v="488219000000"/>
    <s v="March"/>
    <x v="0"/>
    <x v="9"/>
  </r>
  <r>
    <n v="5425504"/>
    <n v="345309"/>
    <s v="Mar"/>
    <x v="1"/>
    <x v="9"/>
  </r>
  <r>
    <n v="6036218"/>
    <n v="128615"/>
    <s v="Mar"/>
    <x v="1"/>
    <x v="9"/>
  </r>
  <r>
    <n v="6135475"/>
    <n v="213531"/>
    <s v="Mar"/>
    <x v="1"/>
    <x v="9"/>
  </r>
  <r>
    <n v="394334"/>
    <n v="446924000000"/>
    <s v="March"/>
    <x v="0"/>
    <x v="9"/>
  </r>
  <r>
    <n v="5670584"/>
    <n v="159558"/>
    <s v="Mar"/>
    <x v="1"/>
    <x v="9"/>
  </r>
  <r>
    <n v="393934"/>
    <n v="530001000000"/>
    <s v="March"/>
    <x v="0"/>
    <x v="9"/>
  </r>
  <r>
    <n v="5711163"/>
    <n v="177609"/>
    <s v="Mar"/>
    <x v="1"/>
    <x v="9"/>
  </r>
  <r>
    <n v="389881"/>
    <n v="582725000000"/>
    <s v="March"/>
    <x v="0"/>
    <x v="9"/>
  </r>
  <r>
    <n v="5597168"/>
    <n v="206229"/>
    <s v="Mar"/>
    <x v="1"/>
    <x v="9"/>
  </r>
  <r>
    <n v="387544"/>
    <n v="549634000000"/>
    <s v="March"/>
    <x v="0"/>
    <x v="9"/>
  </r>
  <r>
    <n v="5346619"/>
    <n v="193315"/>
    <s v="Mar"/>
    <x v="1"/>
    <x v="9"/>
  </r>
  <r>
    <n v="382135"/>
    <n v="585224000000"/>
    <s v="March"/>
    <x v="0"/>
    <x v="9"/>
  </r>
  <r>
    <n v="5393134"/>
    <n v="188072"/>
    <s v="Mar"/>
    <x v="1"/>
    <x v="9"/>
  </r>
  <r>
    <n v="5059121"/>
    <n v="115704"/>
    <s v="Mar"/>
    <x v="1"/>
    <x v="9"/>
  </r>
  <r>
    <n v="4961032"/>
    <n v="102729"/>
    <s v="Mar"/>
    <x v="1"/>
    <x v="9"/>
  </r>
  <r>
    <n v="384194"/>
    <n v="684257000000"/>
    <s v="March"/>
    <x v="0"/>
    <x v="9"/>
  </r>
  <r>
    <n v="4864876"/>
    <n v="177493"/>
    <s v="Mar"/>
    <x v="1"/>
    <x v="9"/>
  </r>
  <r>
    <n v="376847"/>
    <n v="714224000000"/>
    <s v="March"/>
    <x v="0"/>
    <x v="9"/>
  </r>
  <r>
    <n v="4733992"/>
    <n v="250735"/>
    <s v="Mar"/>
    <x v="1"/>
    <x v="9"/>
  </r>
  <r>
    <n v="381972"/>
    <n v="615079000000"/>
    <s v="March"/>
    <x v="0"/>
    <x v="9"/>
  </r>
  <r>
    <n v="4959723"/>
    <n v="275627"/>
    <s v="Mar"/>
    <x v="1"/>
    <x v="9"/>
  </r>
  <r>
    <n v="387029"/>
    <n v="549369000000"/>
    <s v="March"/>
    <x v="0"/>
    <x v="9"/>
  </r>
  <r>
    <n v="4874978"/>
    <n v="188771"/>
    <s v="Mar"/>
    <x v="1"/>
    <x v="9"/>
  </r>
  <r>
    <n v="390182"/>
    <n v="507154000000"/>
    <s v="March"/>
    <x v="0"/>
    <x v="9"/>
  </r>
  <r>
    <n v="4640805"/>
    <n v="218854"/>
    <s v="Feb"/>
    <x v="1"/>
    <x v="10"/>
  </r>
  <r>
    <n v="4467336"/>
    <n v="119106"/>
    <s v="Feb"/>
    <x v="1"/>
    <x v="10"/>
  </r>
  <r>
    <n v="381115"/>
    <n v="651295000000"/>
    <s v="February"/>
    <x v="0"/>
    <x v="10"/>
  </r>
  <r>
    <n v="4744000"/>
    <n v="329757"/>
    <s v="Feb"/>
    <x v="1"/>
    <x v="10"/>
  </r>
  <r>
    <n v="382934"/>
    <n v="651306000000"/>
    <s v="February"/>
    <x v="0"/>
    <x v="10"/>
  </r>
  <r>
    <n v="4736043"/>
    <n v="390071"/>
    <s v="Feb"/>
    <x v="1"/>
    <x v="10"/>
  </r>
  <r>
    <n v="392543"/>
    <n v="594235000000"/>
    <s v="February"/>
    <x v="0"/>
    <x v="10"/>
  </r>
  <r>
    <n v="5026689"/>
    <n v="279846"/>
    <s v="Feb"/>
    <x v="1"/>
    <x v="10"/>
  </r>
  <r>
    <n v="388137"/>
    <n v="628065000000"/>
    <s v="February"/>
    <x v="0"/>
    <x v="10"/>
  </r>
  <r>
    <n v="5096574"/>
    <n v="664190"/>
    <s v="Feb"/>
    <x v="1"/>
    <x v="10"/>
  </r>
  <r>
    <n v="387650"/>
    <n v="587019000000"/>
    <s v="February"/>
    <x v="0"/>
    <x v="10"/>
  </r>
  <r>
    <n v="5184725"/>
    <n v="537131"/>
    <s v="Feb"/>
    <x v="1"/>
    <x v="10"/>
  </r>
  <r>
    <n v="5591443"/>
    <n v="145490"/>
    <s v="Feb"/>
    <x v="1"/>
    <x v="10"/>
  </r>
  <r>
    <n v="5654120"/>
    <n v="134919"/>
    <s v="Feb"/>
    <x v="1"/>
    <x v="10"/>
  </r>
  <r>
    <n v="390671"/>
    <n v="482394000000"/>
    <s v="February"/>
    <x v="0"/>
    <x v="10"/>
  </r>
  <r>
    <n v="5576110"/>
    <n v="314393"/>
    <s v="Feb"/>
    <x v="1"/>
    <x v="10"/>
  </r>
  <r>
    <n v="391397"/>
    <n v="477343000000"/>
    <s v="February"/>
    <x v="0"/>
    <x v="10"/>
  </r>
  <r>
    <n v="5124123"/>
    <n v="200260"/>
    <s v="Feb"/>
    <x v="1"/>
    <x v="10"/>
  </r>
  <r>
    <n v="393133"/>
    <n v="471828000000"/>
    <s v="February"/>
    <x v="0"/>
    <x v="10"/>
  </r>
  <r>
    <n v="5206801"/>
    <n v="285820"/>
    <s v="Feb"/>
    <x v="1"/>
    <x v="10"/>
  </r>
  <r>
    <n v="393259"/>
    <n v="503736000000"/>
    <s v="February"/>
    <x v="0"/>
    <x v="10"/>
  </r>
  <r>
    <n v="4964993"/>
    <n v="277627"/>
    <s v="Feb"/>
    <x v="1"/>
    <x v="10"/>
  </r>
  <r>
    <n v="4958720"/>
    <n v="173603"/>
    <s v="Feb"/>
    <x v="1"/>
    <x v="10"/>
  </r>
  <r>
    <n v="4718529"/>
    <n v="217490"/>
    <s v="Feb"/>
    <x v="1"/>
    <x v="10"/>
  </r>
  <r>
    <n v="4738180"/>
    <n v="125244"/>
    <s v="Feb"/>
    <x v="1"/>
    <x v="10"/>
  </r>
  <r>
    <n v="393483"/>
    <n v="411926000000"/>
    <s v="February"/>
    <x v="0"/>
    <x v="10"/>
  </r>
  <r>
    <n v="4793887"/>
    <n v="241387"/>
    <s v="Feb"/>
    <x v="1"/>
    <x v="10"/>
  </r>
  <r>
    <n v="391638"/>
    <n v="457008000000"/>
    <s v="February"/>
    <x v="0"/>
    <x v="10"/>
  </r>
  <r>
    <n v="4762429"/>
    <n v="258900"/>
    <s v="Feb"/>
    <x v="1"/>
    <x v="10"/>
  </r>
  <r>
    <n v="390988"/>
    <n v="481538000000"/>
    <s v="February"/>
    <x v="0"/>
    <x v="10"/>
  </r>
  <r>
    <n v="4551394"/>
    <n v="247969"/>
    <s v="Feb"/>
    <x v="1"/>
    <x v="10"/>
  </r>
  <r>
    <n v="391123"/>
    <n v="455461000000"/>
    <s v="February"/>
    <x v="0"/>
    <x v="10"/>
  </r>
  <r>
    <n v="4630988"/>
    <n v="299216"/>
    <s v="Feb"/>
    <x v="1"/>
    <x v="10"/>
  </r>
  <r>
    <n v="391559"/>
    <n v="463503000000"/>
    <s v="February"/>
    <x v="0"/>
    <x v="10"/>
  </r>
  <r>
    <n v="4665350"/>
    <n v="594437"/>
    <s v="Feb"/>
    <x v="1"/>
    <x v="10"/>
  </r>
  <r>
    <n v="3810734"/>
    <n v="123987"/>
    <s v="Feb"/>
    <x v="1"/>
    <x v="10"/>
  </r>
  <r>
    <n v="3889795"/>
    <n v="200211"/>
    <s v="Feb"/>
    <x v="1"/>
    <x v="10"/>
  </r>
  <r>
    <n v="388683"/>
    <n v="483858000000"/>
    <s v="February"/>
    <x v="0"/>
    <x v="10"/>
  </r>
  <r>
    <n v="3941576"/>
    <n v="203278"/>
    <s v="Feb"/>
    <x v="1"/>
    <x v="10"/>
  </r>
  <r>
    <n v="387174"/>
    <n v="485667000000"/>
    <s v="February"/>
    <x v="0"/>
    <x v="10"/>
  </r>
  <r>
    <n v="3738018"/>
    <n v="263709"/>
    <s v="Feb"/>
    <x v="1"/>
    <x v="10"/>
  </r>
  <r>
    <n v="383017"/>
    <n v="484690000000"/>
    <s v="February"/>
    <x v="0"/>
    <x v="10"/>
  </r>
  <r>
    <n v="3755156"/>
    <n v="255971"/>
    <s v="Feb"/>
    <x v="1"/>
    <x v="10"/>
  </r>
  <r>
    <n v="382631"/>
    <n v="549537000000"/>
    <s v="February"/>
    <x v="0"/>
    <x v="10"/>
  </r>
  <r>
    <n v="3646728"/>
    <n v="232835"/>
    <s v="Feb"/>
    <x v="1"/>
    <x v="10"/>
  </r>
  <r>
    <n v="377386"/>
    <n v="539287000000"/>
    <s v="February"/>
    <x v="0"/>
    <x v="10"/>
  </r>
  <r>
    <n v="3358989"/>
    <n v="213459"/>
    <s v="Feb"/>
    <x v="1"/>
    <x v="10"/>
  </r>
  <r>
    <n v="3360878"/>
    <n v="115346"/>
    <s v="Jan"/>
    <x v="1"/>
    <x v="11"/>
  </r>
  <r>
    <n v="3394979"/>
    <n v="137903"/>
    <s v="Jan"/>
    <x v="1"/>
    <x v="11"/>
  </r>
  <r>
    <n v="371424"/>
    <n v="661257000000"/>
    <s v="January"/>
    <x v="0"/>
    <x v="11"/>
  </r>
  <r>
    <n v="3328913"/>
    <n v="773343"/>
    <s v="Jan"/>
    <x v="1"/>
    <x v="11"/>
  </r>
  <r>
    <n v="378738"/>
    <n v="693796000000"/>
    <s v="January"/>
    <x v="0"/>
    <x v="11"/>
  </r>
  <r>
    <n v="3386401"/>
    <n v="461455"/>
    <s v="Jan"/>
    <x v="1"/>
    <x v="11"/>
  </r>
  <r>
    <n v="375077"/>
    <n v="987804000000"/>
    <s v="January"/>
    <x v="0"/>
    <x v="11"/>
  </r>
  <r>
    <n v="3151454"/>
    <n v="577914"/>
    <s v="Jan"/>
    <x v="1"/>
    <x v="11"/>
  </r>
  <r>
    <n v="384962"/>
    <n v="602909000000"/>
    <s v="January"/>
    <x v="0"/>
    <x v="11"/>
  </r>
  <r>
    <n v="3185260"/>
    <n v="254286"/>
    <s v="Jan"/>
    <x v="1"/>
    <x v="11"/>
  </r>
  <r>
    <n v="385536"/>
    <n v="695586000000"/>
    <s v="January"/>
    <x v="0"/>
    <x v="11"/>
  </r>
  <r>
    <n v="3155764"/>
    <n v="250278"/>
    <s v="Jan"/>
    <x v="1"/>
    <x v="11"/>
  </r>
  <r>
    <n v="3358544"/>
    <n v="166848"/>
    <s v="Jan"/>
    <x v="1"/>
    <x v="11"/>
  </r>
  <r>
    <n v="3250000"/>
    <n v="94200"/>
    <s v="Jan"/>
    <x v="1"/>
    <x v="11"/>
  </r>
  <r>
    <n v="384147"/>
    <n v="508043000000"/>
    <s v="January"/>
    <x v="0"/>
    <x v="11"/>
  </r>
  <r>
    <n v="3239363"/>
    <n v="286923"/>
    <s v="Jan"/>
    <x v="1"/>
    <x v="11"/>
  </r>
  <r>
    <n v="385307"/>
    <n v="448446000000"/>
    <s v="January"/>
    <x v="0"/>
    <x v="11"/>
  </r>
  <r>
    <n v="3094332"/>
    <n v="729052"/>
    <s v="Jan"/>
    <x v="1"/>
    <x v="11"/>
  </r>
  <r>
    <n v="385185"/>
    <n v="455179000000"/>
    <s v="January"/>
    <x v="0"/>
    <x v="11"/>
  </r>
  <r>
    <n v="3460374"/>
    <n v="290001"/>
    <s v="Jan"/>
    <x v="1"/>
    <x v="11"/>
  </r>
  <r>
    <n v="379891"/>
    <n v="498294000000"/>
    <s v="January"/>
    <x v="0"/>
    <x v="11"/>
  </r>
  <r>
    <n v="3507553"/>
    <n v="272629"/>
    <s v="Jan"/>
    <x v="1"/>
    <x v="11"/>
  </r>
  <r>
    <n v="3650942"/>
    <n v="208384"/>
    <s v="Jan"/>
    <x v="1"/>
    <x v="11"/>
  </r>
  <r>
    <n v="3508993"/>
    <n v="175994"/>
    <s v="Jan"/>
    <x v="1"/>
    <x v="11"/>
  </r>
  <r>
    <n v="3621522"/>
    <n v="185553"/>
    <s v="Jan"/>
    <x v="1"/>
    <x v="11"/>
  </r>
  <r>
    <n v="376825"/>
    <n v="535306000000"/>
    <s v="January"/>
    <x v="0"/>
    <x v="11"/>
  </r>
  <r>
    <n v="3654931"/>
    <n v="450399"/>
    <s v="Jan"/>
    <x v="1"/>
    <x v="11"/>
  </r>
  <r>
    <n v="379554"/>
    <n v="518014000000"/>
    <s v="January"/>
    <x v="0"/>
    <x v="11"/>
  </r>
  <r>
    <n v="3870652"/>
    <n v="268651"/>
    <s v="Jan"/>
    <x v="1"/>
    <x v="11"/>
  </r>
  <r>
    <n v="380984"/>
    <n v="459042000000"/>
    <s v="January"/>
    <x v="0"/>
    <x v="11"/>
  </r>
  <r>
    <n v="3704070"/>
    <n v="404991"/>
    <s v="Jan"/>
    <x v="1"/>
    <x v="11"/>
  </r>
  <r>
    <n v="380119"/>
    <n v="497721000000"/>
    <s v="January"/>
    <x v="0"/>
    <x v="11"/>
  </r>
  <r>
    <n v="3380423"/>
    <n v="524577"/>
    <s v="Jan"/>
    <x v="1"/>
    <x v="11"/>
  </r>
  <r>
    <n v="379961"/>
    <n v="445050000000"/>
    <s v="January"/>
    <x v="0"/>
    <x v="11"/>
  </r>
  <r>
    <n v="3500000"/>
    <n v="1255601"/>
    <s v="Jan"/>
    <x v="1"/>
    <x v="11"/>
  </r>
  <r>
    <n v="3543513"/>
    <n v="591367"/>
    <s v="Jan"/>
    <x v="1"/>
    <x v="11"/>
  </r>
  <r>
    <n v="4049050"/>
    <n v="267895"/>
    <s v="Jan"/>
    <x v="1"/>
    <x v="11"/>
  </r>
  <r>
    <n v="382468"/>
    <n v="476418000000"/>
    <s v="January"/>
    <x v="0"/>
    <x v="11"/>
  </r>
  <r>
    <n v="4027903"/>
    <n v="566185"/>
    <s v="Jan"/>
    <x v="1"/>
    <x v="11"/>
  </r>
  <r>
    <n v="380379"/>
    <n v="508087000000"/>
    <s v="January"/>
    <x v="0"/>
    <x v="11"/>
  </r>
  <r>
    <n v="3847478"/>
    <n v="574352"/>
    <s v="Jan"/>
    <x v="1"/>
    <x v="11"/>
  </r>
  <r>
    <n v="374814"/>
    <n v="604997000000"/>
    <s v="January"/>
    <x v="0"/>
    <x v="11"/>
  </r>
  <r>
    <n v="3761311"/>
    <n v="492500"/>
    <s v="Jan"/>
    <x v="1"/>
    <x v="11"/>
  </r>
  <r>
    <n v="372686"/>
    <n v="458262000000"/>
    <s v="January"/>
    <x v="0"/>
    <x v="11"/>
  </r>
  <r>
    <n v="3422819"/>
    <n v="305656"/>
    <s v="Jan"/>
    <x v="1"/>
    <x v="11"/>
  </r>
  <r>
    <n v="370065"/>
    <n v="500668000000"/>
    <s v="January"/>
    <x v="0"/>
    <x v="11"/>
  </r>
  <r>
    <n v="3120346"/>
    <n v="460392"/>
    <s v="Jan"/>
    <x v="1"/>
    <x v="11"/>
  </r>
  <r>
    <m/>
    <m/>
    <m/>
    <x v="2"/>
    <x v="12"/>
  </r>
  <r>
    <m/>
    <m/>
    <m/>
    <x v="2"/>
    <x v="12"/>
  </r>
  <r>
    <m/>
    <m/>
    <m/>
    <x v="2"/>
    <x v="12"/>
  </r>
  <r>
    <m/>
    <m/>
    <m/>
    <x v="2"/>
    <x v="12"/>
  </r>
  <r>
    <m/>
    <m/>
    <m/>
    <x v="2"/>
    <x v="12"/>
  </r>
  <r>
    <m/>
    <m/>
    <m/>
    <x v="2"/>
    <x v="12"/>
  </r>
  <r>
    <m/>
    <m/>
    <m/>
    <x v="2"/>
    <x v="12"/>
  </r>
  <r>
    <m/>
    <m/>
    <m/>
    <x v="2"/>
    <x v="12"/>
  </r>
  <r>
    <m/>
    <m/>
    <m/>
    <x v="2"/>
    <x v="1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1">
  <r>
    <x v="0"/>
    <s v="December"/>
    <s v="SP500"/>
    <n v="477521"/>
    <x v="0"/>
    <n v="476575"/>
    <n v="476618"/>
    <n v="244619000000"/>
    <s v="December"/>
    <x v="0"/>
  </r>
  <r>
    <x v="0"/>
    <s v="Dec"/>
    <s v="BTCUSD"/>
    <n v="4720799"/>
    <x v="1"/>
    <n v="4564111"/>
    <n v="4680683"/>
    <n v="159171"/>
    <s v="Dec"/>
    <x v="1"/>
  </r>
  <r>
    <x v="1"/>
    <s v="December"/>
    <s v="SP500"/>
    <n v="479423"/>
    <x v="2"/>
    <n v="477533"/>
    <n v="477873"/>
    <n v="239099000000"/>
    <s v="December"/>
    <x v="0"/>
  </r>
  <r>
    <x v="1"/>
    <s v="Dec"/>
    <s v="BTCUSD"/>
    <n v="4650244"/>
    <x v="3"/>
    <n v="4649619"/>
    <n v="4720799"/>
    <n v="99841"/>
    <s v="Dec"/>
    <x v="1"/>
  </r>
  <r>
    <x v="2"/>
    <s v="December"/>
    <s v="SP500"/>
    <n v="478864"/>
    <x v="4"/>
    <n v="477808"/>
    <n v="479306"/>
    <n v="236937000000"/>
    <s v="December"/>
    <x v="0"/>
  </r>
  <r>
    <x v="2"/>
    <s v="Dec"/>
    <s v="BTCUSD"/>
    <n v="4801793"/>
    <x v="5"/>
    <n v="4594530"/>
    <n v="4650244"/>
    <n v="111963"/>
    <s v="Dec"/>
    <x v="1"/>
  </r>
  <r>
    <x v="3"/>
    <s v="December"/>
    <s v="SP500"/>
    <n v="479549"/>
    <x v="6"/>
    <n v="478004"/>
    <n v="478635"/>
    <n v="221705000000"/>
    <s v="December"/>
    <x v="0"/>
  </r>
  <r>
    <x v="3"/>
    <s v="Dec"/>
    <s v="BTCUSD"/>
    <n v="4982179"/>
    <x v="7"/>
    <n v="4732297"/>
    <n v="4801793"/>
    <n v="127501"/>
    <s v="Dec"/>
    <x v="1"/>
  </r>
  <r>
    <x v="4"/>
    <s v="December"/>
    <s v="SP500"/>
    <n v="473399"/>
    <x v="8"/>
    <n v="473399"/>
    <n v="479119"/>
    <n v="226412000000"/>
    <s v="December"/>
    <x v="0"/>
  </r>
  <r>
    <x v="4"/>
    <s v="Dec"/>
    <s v="BTCUSD"/>
    <n v="5103612"/>
    <x v="9"/>
    <n v="4950947"/>
    <n v="4982179"/>
    <n v="89604"/>
    <s v="Dec"/>
    <x v="1"/>
  </r>
  <r>
    <x v="5"/>
    <s v="Dec"/>
    <s v="BTCUSD"/>
    <n v="4970521"/>
    <x v="10"/>
    <n v="4946066"/>
    <n v="5103612"/>
    <n v="48924"/>
    <s v="Dec"/>
    <x v="1"/>
  </r>
  <r>
    <x v="6"/>
    <s v="Dec"/>
    <s v="BTCUSD"/>
    <n v="5087231"/>
    <x v="11"/>
    <n v="4965665"/>
    <n v="4970521"/>
    <n v="40067"/>
    <s v="Dec"/>
    <x v="1"/>
  </r>
  <r>
    <x v="7"/>
    <s v="Dec"/>
    <s v="BTCUSD"/>
    <n v="5106784"/>
    <x v="12"/>
    <n v="5046108"/>
    <n v="5087231"/>
    <n v="55812"/>
    <s v="Dec"/>
    <x v="1"/>
  </r>
  <r>
    <x v="8"/>
    <s v="December"/>
    <s v="SP500"/>
    <n v="470396"/>
    <x v="13"/>
    <n v="470396"/>
    <n v="472579"/>
    <n v="219463000000"/>
    <s v="December"/>
    <x v="0"/>
  </r>
  <r>
    <x v="8"/>
    <s v="Dec"/>
    <s v="BTCUSD"/>
    <n v="4854538"/>
    <x v="14"/>
    <n v="4807235"/>
    <n v="5106784"/>
    <n v="100126"/>
    <s v="Dec"/>
    <x v="1"/>
  </r>
  <r>
    <x v="9"/>
    <s v="December"/>
    <s v="SP500"/>
    <n v="465036"/>
    <x v="15"/>
    <n v="464553"/>
    <n v="469656"/>
    <n v="243957000000"/>
    <s v="December"/>
    <x v="0"/>
  </r>
  <r>
    <x v="9"/>
    <s v="Dec"/>
    <s v="BTCUSD"/>
    <n v="4926344"/>
    <x v="16"/>
    <n v="4806336"/>
    <n v="4854538"/>
    <n v="72680"/>
    <s v="Dec"/>
    <x v="1"/>
  </r>
  <r>
    <x v="10"/>
    <s v="December"/>
    <s v="SP500"/>
    <n v="459496"/>
    <x v="17"/>
    <n v="458316"/>
    <n v="464923"/>
    <n v="256437000000"/>
    <s v="December"/>
    <x v="0"/>
  </r>
  <r>
    <x v="10"/>
    <s v="Dec"/>
    <s v="BTCUSD"/>
    <n v="4795456"/>
    <x v="18"/>
    <n v="4794807"/>
    <n v="4926344"/>
    <n v="123589"/>
    <s v="Dec"/>
    <x v="1"/>
  </r>
  <r>
    <x v="11"/>
    <s v="December"/>
    <s v="SP500"/>
    <n v="458790"/>
    <x v="19"/>
    <n v="453110"/>
    <n v="456802"/>
    <n v="339578000000"/>
    <s v="December"/>
    <x v="0"/>
  </r>
  <r>
    <x v="11"/>
    <s v="Dec"/>
    <s v="BTCUSD"/>
    <n v="4670908"/>
    <x v="20"/>
    <n v="4557918"/>
    <n v="4795456"/>
    <n v="95470"/>
    <s v="Dec"/>
    <x v="1"/>
  </r>
  <r>
    <x v="12"/>
    <s v="Dec"/>
    <s v="BTCUSD"/>
    <n v="4774599"/>
    <x v="21"/>
    <n v="4625500"/>
    <n v="4670908"/>
    <n v="67052"/>
    <s v="Dec"/>
    <x v="1"/>
  </r>
  <r>
    <x v="13"/>
    <s v="Dec"/>
    <s v="BTCUSD"/>
    <n v="4631219"/>
    <x v="22"/>
    <n v="4610000"/>
    <n v="4774599"/>
    <n v="50098"/>
    <s v="Dec"/>
    <x v="1"/>
  </r>
  <r>
    <x v="14"/>
    <s v="December"/>
    <s v="SP500"/>
    <n v="465250"/>
    <x v="23"/>
    <n v="460022"/>
    <n v="462064"/>
    <n v="560978000000"/>
    <s v="December"/>
    <x v="0"/>
  </r>
  <r>
    <x v="14"/>
    <s v="Dec"/>
    <s v="BTCUSD"/>
    <n v="4777980"/>
    <x v="24"/>
    <n v="4546396"/>
    <n v="4631219"/>
    <n v="129410"/>
    <s v="Dec"/>
    <x v="1"/>
  </r>
  <r>
    <x v="15"/>
    <s v="December"/>
    <s v="SP500"/>
    <n v="471913"/>
    <x v="25"/>
    <n v="465189"/>
    <n v="466867"/>
    <n v="359281000000"/>
    <s v="December"/>
    <x v="0"/>
  </r>
  <r>
    <x v="15"/>
    <s v="Dec"/>
    <s v="BTCUSD"/>
    <n v="4883859"/>
    <x v="26"/>
    <n v="4743815"/>
    <n v="4777980"/>
    <n v="88167"/>
    <s v="Dec"/>
    <x v="1"/>
  </r>
  <r>
    <x v="16"/>
    <s v="December"/>
    <s v="SP500"/>
    <n v="463646"/>
    <x v="27"/>
    <n v="461122"/>
    <n v="470985"/>
    <n v="336758000000"/>
    <s v="December"/>
    <x v="0"/>
  </r>
  <r>
    <x v="16"/>
    <s v="Dec"/>
    <s v="BTCUSD"/>
    <n v="4828050"/>
    <x v="28"/>
    <n v="4653900"/>
    <n v="4883859"/>
    <n v="168417"/>
    <s v="Dec"/>
    <x v="1"/>
  </r>
  <r>
    <x v="17"/>
    <s v="December"/>
    <s v="SP500"/>
    <n v="464299"/>
    <x v="29"/>
    <n v="460652"/>
    <n v="463409"/>
    <n v="329274000000"/>
    <s v="December"/>
    <x v="0"/>
  </r>
  <r>
    <x v="17"/>
    <s v="Dec"/>
    <s v="BTCUSD"/>
    <n v="4696847"/>
    <x v="30"/>
    <n v="4635000"/>
    <n v="4828050"/>
    <n v="102612"/>
    <s v="Dec"/>
    <x v="1"/>
  </r>
  <r>
    <x v="18"/>
    <s v="December"/>
    <s v="SP500"/>
    <n v="471030"/>
    <x v="31"/>
    <n v="466760"/>
    <n v="466897"/>
    <n v="332205000000"/>
    <s v="December"/>
    <x v="0"/>
  </r>
  <r>
    <x v="18"/>
    <s v="Dec"/>
    <s v="BTCUSD"/>
    <n v="4889975"/>
    <x v="32"/>
    <n v="4561884"/>
    <n v="4696847"/>
    <n v="174904"/>
    <s v="Dec"/>
    <x v="1"/>
  </r>
  <r>
    <x v="19"/>
    <s v="Dec"/>
    <s v="BTCUSD"/>
    <n v="4933366"/>
    <x v="33"/>
    <n v="4849081"/>
    <n v="4889975"/>
    <n v="77955"/>
    <s v="Dec"/>
    <x v="1"/>
  </r>
  <r>
    <x v="20"/>
    <s v="Dec"/>
    <s v="BTCUSD"/>
    <n v="4833111"/>
    <x v="34"/>
    <n v="4781928"/>
    <n v="4933366"/>
    <n v="62386"/>
    <s v="Dec"/>
    <x v="1"/>
  </r>
  <r>
    <x v="21"/>
    <s v="December"/>
    <s v="SP500"/>
    <n v="468764"/>
    <x v="35"/>
    <n v="467024"/>
    <n v="471202"/>
    <n v="285831000000"/>
    <s v="December"/>
    <x v="0"/>
  </r>
  <r>
    <x v="21"/>
    <s v="Dec"/>
    <s v="BTCUSD"/>
    <n v="4840503"/>
    <x v="36"/>
    <n v="4675920"/>
    <n v="4833111"/>
    <n v="76672"/>
    <s v="Dec"/>
    <x v="1"/>
  </r>
  <r>
    <x v="22"/>
    <s v="December"/>
    <s v="SP500"/>
    <n v="469100"/>
    <x v="37"/>
    <n v="466598"/>
    <n v="466745"/>
    <n v="285166000000"/>
    <s v="December"/>
    <x v="0"/>
  </r>
  <r>
    <x v="22"/>
    <s v="Dec"/>
    <s v="BTCUSD"/>
    <n v="4956740"/>
    <x v="38"/>
    <n v="4733520"/>
    <n v="4840503"/>
    <n v="168680"/>
    <s v="Dec"/>
    <x v="1"/>
  </r>
  <r>
    <x v="23"/>
    <s v="December"/>
    <s v="SP500"/>
    <n v="469086"/>
    <x v="39"/>
    <n v="467452"/>
    <n v="470121"/>
    <n v="306155000000"/>
    <s v="December"/>
    <x v="0"/>
  </r>
  <r>
    <x v="23"/>
    <s v="Dec"/>
    <s v="BTCUSD"/>
    <n v="5016248"/>
    <x v="40"/>
    <n v="4866968"/>
    <n v="4956740"/>
    <n v="121560"/>
    <s v="Dec"/>
    <x v="1"/>
  </r>
  <r>
    <x v="24"/>
    <s v="December"/>
    <s v="SP500"/>
    <n v="463197"/>
    <x v="41"/>
    <n v="463197"/>
    <n v="468675"/>
    <n v="333432000000"/>
    <s v="December"/>
    <x v="0"/>
  </r>
  <r>
    <x v="24"/>
    <s v="Dec"/>
    <s v="BTCUSD"/>
    <n v="5101243"/>
    <x v="42"/>
    <n v="5008600"/>
    <n v="5016248"/>
    <n v="122079"/>
    <s v="Dec"/>
    <x v="1"/>
  </r>
  <r>
    <x v="25"/>
    <s v="December"/>
    <s v="SP500"/>
    <n v="454837"/>
    <x v="43"/>
    <n v="454051"/>
    <n v="459167"/>
    <n v="330569000000"/>
    <s v="December"/>
    <x v="0"/>
  </r>
  <r>
    <x v="25"/>
    <s v="Dec"/>
    <s v="BTCUSD"/>
    <n v="4910301"/>
    <x v="44"/>
    <n v="4716565"/>
    <n v="5101243"/>
    <n v="213933"/>
    <s v="Dec"/>
    <x v="1"/>
  </r>
  <r>
    <x v="26"/>
    <s v="Dec"/>
    <s v="BTCUSD"/>
    <n v="4924956"/>
    <x v="45"/>
    <n v="4784403"/>
    <n v="4910301"/>
    <n v="369703"/>
    <s v="Dec"/>
    <x v="1"/>
  </r>
  <r>
    <x v="27"/>
    <s v="Dec"/>
    <s v="BTCUSD"/>
    <n v="5205590"/>
    <x v="46"/>
    <n v="4207462"/>
    <n v="4924956"/>
    <n v="548689"/>
    <s v="Dec"/>
    <x v="1"/>
  </r>
  <r>
    <x v="28"/>
    <s v="December"/>
    <s v="SP500"/>
    <n v="458949"/>
    <x v="47"/>
    <n v="449512"/>
    <n v="453843"/>
    <n v="397150000000"/>
    <s v="December"/>
    <x v="0"/>
  </r>
  <r>
    <x v="28"/>
    <s v="Dec"/>
    <s v="BTCUSD"/>
    <n v="5638025"/>
    <x v="48"/>
    <n v="5161930"/>
    <n v="5205590"/>
    <n v="178477"/>
    <s v="Dec"/>
    <x v="1"/>
  </r>
  <r>
    <x v="29"/>
    <s v="December"/>
    <s v="SP500"/>
    <n v="450473"/>
    <x v="49"/>
    <n v="450473"/>
    <n v="457710"/>
    <n v="377151000000"/>
    <s v="December"/>
    <x v="0"/>
  </r>
  <r>
    <x v="29"/>
    <s v="Dec"/>
    <s v="BTCUSD"/>
    <n v="5636219"/>
    <x v="50"/>
    <n v="5600000"/>
    <n v="5638025"/>
    <n v="114049"/>
    <s v="Dec"/>
    <x v="1"/>
  </r>
  <r>
    <x v="30"/>
    <s v="December"/>
    <s v="SP500"/>
    <n v="460282"/>
    <x v="51"/>
    <n v="451027"/>
    <n v="451304"/>
    <n v="407826000000"/>
    <s v="December"/>
    <x v="0"/>
  </r>
  <r>
    <x v="30"/>
    <s v="Dec"/>
    <s v="BTCUSD"/>
    <n v="5740447"/>
    <x v="52"/>
    <n v="5586002"/>
    <n v="5636219"/>
    <n v="142043"/>
    <s v="Dec"/>
    <x v="1"/>
  </r>
  <r>
    <x v="31"/>
    <s v="November"/>
    <s v="SP500"/>
    <n v="464025"/>
    <x v="53"/>
    <n v="456000"/>
    <n v="456700"/>
    <n v="495019000000"/>
    <s v="November"/>
    <x v="0"/>
  </r>
  <r>
    <x v="31"/>
    <s v="Nov"/>
    <s v="BTCUSD"/>
    <n v="5716387"/>
    <x v="54"/>
    <n v="5593025"/>
    <n v="5740447"/>
    <n v="148728"/>
    <s v="Nov"/>
    <x v="1"/>
  </r>
  <r>
    <x v="32"/>
    <s v="November"/>
    <s v="SP500"/>
    <n v="462875"/>
    <x v="55"/>
    <n v="462526"/>
    <n v="465527"/>
    <n v="347138000000"/>
    <s v="November"/>
    <x v="0"/>
  </r>
  <r>
    <x v="32"/>
    <s v="Nov"/>
    <s v="BTCUSD"/>
    <n v="5740061"/>
    <x v="56"/>
    <n v="5673449"/>
    <n v="5716387"/>
    <n v="105704"/>
    <s v="Nov"/>
    <x v="1"/>
  </r>
  <r>
    <x v="33"/>
    <s v="Nov"/>
    <s v="BTCUSD"/>
    <n v="5416185"/>
    <x v="57"/>
    <n v="5333333"/>
    <n v="5740061"/>
    <n v="79075"/>
    <s v="Nov"/>
    <x v="1"/>
  </r>
  <r>
    <x v="34"/>
    <s v="Nov"/>
    <s v="BTCUSD"/>
    <n v="5440903"/>
    <x v="58"/>
    <n v="5373980"/>
    <n v="5416185"/>
    <n v="55651"/>
    <s v="Nov"/>
    <x v="1"/>
  </r>
  <r>
    <x v="35"/>
    <s v="November"/>
    <s v="SP500"/>
    <n v="466463"/>
    <x v="59"/>
    <n v="458543"/>
    <n v="459462"/>
    <n v="267674000000"/>
    <s v="November"/>
    <x v="0"/>
  </r>
  <r>
    <x v="35"/>
    <s v="Nov"/>
    <s v="BTCUSD"/>
    <n v="5795235"/>
    <x v="60"/>
    <n v="5352900"/>
    <n v="5440903"/>
    <n v="280410"/>
    <s v="Nov"/>
    <x v="1"/>
  </r>
  <r>
    <x v="36"/>
    <s v="Nov"/>
    <s v="BTCUSD"/>
    <n v="5775625"/>
    <x v="61"/>
    <n v="5705176"/>
    <n v="5795235"/>
    <n v="62899"/>
    <s v="Nov"/>
    <x v="1"/>
  </r>
  <r>
    <x v="37"/>
    <s v="November"/>
    <s v="SP500"/>
    <n v="467578"/>
    <x v="62"/>
    <n v="465989"/>
    <n v="470146"/>
    <n v="246404000000"/>
    <s v="November"/>
    <x v="0"/>
  </r>
  <r>
    <x v="37"/>
    <s v="Nov"/>
    <s v="BTCUSD"/>
    <n v="5642350"/>
    <x v="63"/>
    <n v="5589900"/>
    <n v="5775625"/>
    <n v="110516"/>
    <s v="Nov"/>
    <x v="1"/>
  </r>
  <r>
    <x v="38"/>
    <s v="November"/>
    <s v="SP500"/>
    <n v="467848"/>
    <x v="64"/>
    <n v="465266"/>
    <n v="469070"/>
    <n v="342878000000"/>
    <s v="November"/>
    <x v="0"/>
  </r>
  <r>
    <x v="38"/>
    <s v="Nov"/>
    <s v="BTCUSD"/>
    <n v="5697538"/>
    <x v="65"/>
    <n v="5538400"/>
    <n v="5642350"/>
    <n v="158478"/>
    <s v="Nov"/>
    <x v="1"/>
  </r>
  <r>
    <x v="39"/>
    <s v="November"/>
    <s v="SP500"/>
    <n v="471200"/>
    <x v="66"/>
    <n v="468217"/>
    <n v="468294"/>
    <n v="320628000000"/>
    <s v="November"/>
    <x v="0"/>
  </r>
  <r>
    <x v="39"/>
    <s v="Nov"/>
    <s v="BTCUSD"/>
    <n v="5744038"/>
    <x v="67"/>
    <n v="5564853"/>
    <n v="5697538"/>
    <n v="143031"/>
    <s v="Nov"/>
    <x v="1"/>
  </r>
  <r>
    <x v="40"/>
    <s v="Nov"/>
    <s v="BTCUSD"/>
    <n v="5874106"/>
    <x v="68"/>
    <n v="5704907"/>
    <n v="5744038"/>
    <n v="64959"/>
    <s v="Nov"/>
    <x v="1"/>
  </r>
  <r>
    <x v="41"/>
    <s v="Nov"/>
    <s v="BTCUSD"/>
    <n v="5859683"/>
    <x v="69"/>
    <n v="5744200"/>
    <n v="5874106"/>
    <n v="77779"/>
    <s v="Nov"/>
    <x v="1"/>
  </r>
  <r>
    <x v="42"/>
    <s v="November"/>
    <s v="SP500"/>
    <n v="470844"/>
    <x v="70"/>
    <n v="469422"/>
    <n v="469796"/>
    <n v="326560000000"/>
    <s v="November"/>
    <x v="0"/>
  </r>
  <r>
    <x v="42"/>
    <s v="Nov"/>
    <s v="BTCUSD"/>
    <n v="5591116"/>
    <x v="71"/>
    <n v="5585695"/>
    <n v="5859683"/>
    <n v="148312"/>
    <s v="Nov"/>
    <x v="1"/>
  </r>
  <r>
    <x v="43"/>
    <s v="November"/>
    <s v="SP500"/>
    <n v="470072"/>
    <x v="72"/>
    <n v="467278"/>
    <n v="470454"/>
    <n v="333562000000"/>
    <s v="November"/>
    <x v="0"/>
  </r>
  <r>
    <x v="43"/>
    <s v="Nov"/>
    <s v="BTCUSD"/>
    <n v="5988521"/>
    <x v="73"/>
    <n v="5376000"/>
    <n v="5591116"/>
    <n v="399942"/>
    <s v="Nov"/>
    <x v="1"/>
  </r>
  <r>
    <x v="44"/>
    <s v="November"/>
    <s v="SP500"/>
    <n v="470150"/>
    <x v="74"/>
    <n v="468441"/>
    <n v="468867"/>
    <n v="322125000000"/>
    <s v="November"/>
    <x v="0"/>
  </r>
  <r>
    <x v="44"/>
    <s v="Nov"/>
    <s v="BTCUSD"/>
    <n v="5905045"/>
    <x v="75"/>
    <n v="5843480"/>
    <n v="5988521"/>
    <n v="179484"/>
    <s v="Nov"/>
    <x v="1"/>
  </r>
  <r>
    <x v="45"/>
    <s v="November"/>
    <s v="SP500"/>
    <n v="467942"/>
    <x v="76"/>
    <n v="467942"/>
    <n v="470090"/>
    <n v="283821000000"/>
    <s v="November"/>
    <x v="0"/>
  </r>
  <r>
    <x v="45"/>
    <s v="Nov"/>
    <s v="BTCUSD"/>
    <n v="6094413"/>
    <x v="77"/>
    <n v="5857300"/>
    <n v="5905045"/>
    <n v="272520"/>
    <s v="Nov"/>
    <x v="1"/>
  </r>
  <r>
    <x v="46"/>
    <s v="November"/>
    <s v="SP500"/>
    <n v="468930"/>
    <x v="78"/>
    <n v="467286"/>
    <n v="468280"/>
    <n v="261898000000"/>
    <s v="November"/>
    <x v="0"/>
  </r>
  <r>
    <x v="46"/>
    <s v="Nov"/>
    <s v="BTCUSD"/>
    <n v="6574418"/>
    <x v="79"/>
    <n v="6050300"/>
    <n v="6094413"/>
    <n v="179080"/>
    <s v="Nov"/>
    <x v="1"/>
  </r>
  <r>
    <x v="47"/>
    <s v="Nov"/>
    <s v="BTCUSD"/>
    <n v="6467328"/>
    <x v="80"/>
    <n v="6360220"/>
    <n v="6574418"/>
    <n v="52850"/>
    <s v="Nov"/>
    <x v="1"/>
  </r>
  <r>
    <x v="48"/>
    <s v="Nov"/>
    <s v="BTCUSD"/>
    <n v="6380512"/>
    <x v="81"/>
    <n v="6340949"/>
    <n v="6467328"/>
    <n v="31001"/>
    <s v="Nov"/>
    <x v="1"/>
  </r>
  <r>
    <x v="49"/>
    <s v="November"/>
    <s v="SP500"/>
    <n v="465524"/>
    <x v="82"/>
    <n v="465077"/>
    <n v="468285"/>
    <n v="286579000000"/>
    <s v="November"/>
    <x v="0"/>
  </r>
  <r>
    <x v="49"/>
    <s v="Nov"/>
    <s v="BTCUSD"/>
    <n v="6485763"/>
    <x v="83"/>
    <n v="6287500"/>
    <n v="6380512"/>
    <n v="146629"/>
    <s v="Nov"/>
    <x v="1"/>
  </r>
  <r>
    <x v="50"/>
    <s v="November"/>
    <s v="SP500"/>
    <n v="465939"/>
    <x v="84"/>
    <n v="464831"/>
    <n v="464927"/>
    <n v="262314000000"/>
    <s v="November"/>
    <x v="0"/>
  </r>
  <r>
    <x v="50"/>
    <s v="Nov"/>
    <s v="BTCUSD"/>
    <n v="6478534"/>
    <x v="85"/>
    <n v="6412100"/>
    <n v="6485763"/>
    <n v="105051"/>
    <s v="Nov"/>
    <x v="1"/>
  </r>
  <r>
    <x v="51"/>
    <s v="November"/>
    <s v="SP500"/>
    <n v="467026"/>
    <x v="86"/>
    <n v="463086"/>
    <n v="464671"/>
    <n v="358163000000"/>
    <s v="November"/>
    <x v="0"/>
  </r>
  <r>
    <x v="51"/>
    <s v="Nov"/>
    <s v="BTCUSD"/>
    <n v="6649125"/>
    <x v="87"/>
    <n v="6292797"/>
    <n v="6478534"/>
    <n v="296658"/>
    <s v="Nov"/>
    <x v="1"/>
  </r>
  <r>
    <x v="52"/>
    <s v="November"/>
    <s v="SP500"/>
    <n v="470725"/>
    <x v="88"/>
    <n v="467087"/>
    <n v="468525"/>
    <n v="311023000000"/>
    <s v="November"/>
    <x v="0"/>
  </r>
  <r>
    <x v="52"/>
    <s v="Nov"/>
    <s v="BTCUSD"/>
    <n v="6852575"/>
    <x v="89"/>
    <n v="6626248"/>
    <n v="6649125"/>
    <n v="122946"/>
    <s v="Nov"/>
    <x v="1"/>
  </r>
  <r>
    <x v="53"/>
    <s v="November"/>
    <s v="SP500"/>
    <n v="470148"/>
    <x v="90"/>
    <n v="469439"/>
    <n v="470170"/>
    <n v="346572000000"/>
    <s v="November"/>
    <x v="0"/>
  </r>
  <r>
    <x v="53"/>
    <s v="Nov"/>
    <s v="BTCUSD"/>
    <n v="6523520"/>
    <x v="91"/>
    <n v="6513800"/>
    <n v="6852575"/>
    <n v="142108"/>
    <s v="Nov"/>
    <x v="1"/>
  </r>
  <r>
    <x v="54"/>
    <s v="Nov"/>
    <s v="BTCUSD"/>
    <n v="6219969"/>
    <x v="92"/>
    <n v="6153732"/>
    <n v="6523520"/>
    <n v="89282"/>
    <s v="Nov"/>
    <x v="1"/>
  </r>
  <r>
    <x v="55"/>
    <s v="Nov"/>
    <s v="BTCUSD"/>
    <n v="6117203"/>
    <x v="93"/>
    <n v="6012000"/>
    <n v="6219969"/>
    <n v="75838"/>
    <s v="Nov"/>
    <x v="1"/>
  </r>
  <r>
    <x v="56"/>
    <s v="November"/>
    <s v="SP500"/>
    <n v="469926"/>
    <x v="94"/>
    <n v="468132"/>
    <n v="469753"/>
    <n v="349115000000"/>
    <s v="November"/>
    <x v="0"/>
  </r>
  <r>
    <x v="56"/>
    <s v="Nov"/>
    <s v="BTCUSD"/>
    <n v="6224960"/>
    <x v="95"/>
    <n v="6077730"/>
    <n v="6117203"/>
    <n v="104391"/>
    <s v="Nov"/>
    <x v="1"/>
  </r>
  <r>
    <x v="57"/>
    <s v="November"/>
    <s v="SP500"/>
    <n v="466293"/>
    <x v="96"/>
    <n v="466259"/>
    <n v="468006"/>
    <n v="333294000000"/>
    <s v="November"/>
    <x v="0"/>
  </r>
  <r>
    <x v="57"/>
    <s v="Nov"/>
    <s v="BTCUSD"/>
    <n v="6246983"/>
    <x v="97"/>
    <n v="6072416"/>
    <n v="6224960"/>
    <n v="103653"/>
    <s v="Nov"/>
    <x v="1"/>
  </r>
  <r>
    <x v="58"/>
    <s v="November"/>
    <s v="SP500"/>
    <n v="463065"/>
    <x v="98"/>
    <n v="462119"/>
    <n v="466057"/>
    <n v="333944000000"/>
    <s v="November"/>
    <x v="0"/>
  </r>
  <r>
    <x v="58"/>
    <s v="Nov"/>
    <s v="BTCUSD"/>
    <n v="6325757"/>
    <x v="99"/>
    <n v="6011000"/>
    <n v="6246983"/>
    <n v="144849"/>
    <s v="Nov"/>
    <x v="1"/>
  </r>
  <r>
    <x v="59"/>
    <s v="November"/>
    <s v="SP500"/>
    <n v="461334"/>
    <x v="100"/>
    <n v="461334"/>
    <n v="463065"/>
    <n v="330969000000"/>
    <s v="November"/>
    <x v="0"/>
  </r>
  <r>
    <x v="59"/>
    <s v="Nov"/>
    <s v="BTCUSD"/>
    <n v="6113324"/>
    <x v="101"/>
    <n v="6112450"/>
    <n v="6325757"/>
    <n v="179190"/>
    <s v="Nov"/>
    <x v="1"/>
  </r>
  <r>
    <x v="60"/>
    <s v="November"/>
    <s v="SP500"/>
    <n v="461062"/>
    <x v="102"/>
    <n v="459506"/>
    <n v="461367"/>
    <n v="292400000000"/>
    <s v="November"/>
    <x v="0"/>
  </r>
  <r>
    <x v="60"/>
    <s v="Nov"/>
    <s v="BTCUSD"/>
    <n v="5994701"/>
    <x v="103"/>
    <n v="5949018"/>
    <n v="6113324"/>
    <n v="148856"/>
    <s v="Nov"/>
    <x v="1"/>
  </r>
  <r>
    <x v="61"/>
    <s v="Oct"/>
    <s v="BTCUSD"/>
    <n v="6171910"/>
    <x v="104"/>
    <n v="5973157"/>
    <n v="5994701"/>
    <n v="97565"/>
    <s v="Oct"/>
    <x v="1"/>
  </r>
  <r>
    <x v="62"/>
    <s v="Oct"/>
    <s v="BTCUSD"/>
    <n v="6166943"/>
    <x v="105"/>
    <n v="6069652"/>
    <n v="6171910"/>
    <n v="111681"/>
    <s v="Oct"/>
    <x v="1"/>
  </r>
  <r>
    <x v="63"/>
    <s v="October"/>
    <s v="SP500"/>
    <n v="457287"/>
    <x v="106"/>
    <n v="456759"/>
    <n v="460538"/>
    <n v="363226000000"/>
    <s v="October"/>
    <x v="0"/>
  </r>
  <r>
    <x v="63"/>
    <s v="Oct"/>
    <s v="BTCUSD"/>
    <n v="6170636"/>
    <x v="107"/>
    <n v="6036700"/>
    <n v="6166943"/>
    <n v="173713"/>
    <s v="Oct"/>
    <x v="1"/>
  </r>
  <r>
    <x v="64"/>
    <s v="October"/>
    <s v="SP500"/>
    <n v="456284"/>
    <x v="108"/>
    <n v="456284"/>
    <n v="459642"/>
    <n v="319756000000"/>
    <s v="October"/>
    <x v="0"/>
  </r>
  <r>
    <x v="64"/>
    <s v="Oct"/>
    <s v="BTCUSD"/>
    <n v="5888470"/>
    <x v="109"/>
    <n v="5750000"/>
    <n v="6170636"/>
    <n v="278979"/>
    <s v="Oct"/>
    <x v="1"/>
  </r>
  <r>
    <x v="65"/>
    <s v="October"/>
    <s v="SP500"/>
    <n v="458022"/>
    <x v="110"/>
    <n v="455166"/>
    <n v="455168"/>
    <n v="325951000000"/>
    <s v="October"/>
    <x v="0"/>
  </r>
  <r>
    <x v="65"/>
    <s v="Oct"/>
    <s v="BTCUSD"/>
    <n v="6072800"/>
    <x v="111"/>
    <n v="5810000"/>
    <n v="5888470"/>
    <n v="186512"/>
    <s v="Oct"/>
    <x v="1"/>
  </r>
  <r>
    <x v="66"/>
    <s v="October"/>
    <s v="SP500"/>
    <n v="457869"/>
    <x v="112"/>
    <n v="456917"/>
    <n v="457479"/>
    <n v="286650000000"/>
    <s v="October"/>
    <x v="0"/>
  </r>
  <r>
    <x v="66"/>
    <s v="Oct"/>
    <s v="BTCUSD"/>
    <n v="6276547"/>
    <x v="113"/>
    <n v="5985000"/>
    <n v="6072800"/>
    <n v="127871"/>
    <s v="Oct"/>
    <x v="1"/>
  </r>
  <r>
    <x v="67"/>
    <s v="October"/>
    <s v="SP500"/>
    <n v="455369"/>
    <x v="114"/>
    <n v="453736"/>
    <n v="456648"/>
    <n v="325021000000"/>
    <s v="October"/>
    <x v="0"/>
  </r>
  <r>
    <x v="67"/>
    <s v="Oct"/>
    <s v="BTCUSD"/>
    <n v="6209193"/>
    <x v="115"/>
    <n v="6182281"/>
    <n v="6276547"/>
    <n v="147709"/>
    <s v="Oct"/>
    <x v="1"/>
  </r>
  <r>
    <x v="68"/>
    <s v="Oct"/>
    <s v="BTCUSD"/>
    <n v="6122600"/>
    <x v="116"/>
    <n v="5950500"/>
    <n v="6209193"/>
    <n v="84870"/>
    <s v="Oct"/>
    <x v="1"/>
  </r>
  <r>
    <x v="69"/>
    <s v="Oct"/>
    <s v="BTCUSD"/>
    <n v="6123490"/>
    <x v="117"/>
    <n v="5964891"/>
    <n v="6122600"/>
    <n v="54368"/>
    <s v="Oct"/>
    <x v="1"/>
  </r>
  <r>
    <x v="70"/>
    <s v="October"/>
    <s v="SP500"/>
    <n v="454612"/>
    <x v="118"/>
    <n v="452400"/>
    <n v="454490"/>
    <n v="306281000000"/>
    <s v="October"/>
    <x v="0"/>
  </r>
  <r>
    <x v="70"/>
    <s v="Oct"/>
    <s v="BTCUSD"/>
    <n v="6324340"/>
    <x v="119"/>
    <n v="6000000"/>
    <n v="6123490"/>
    <n v="165299"/>
    <s v="Oct"/>
    <x v="1"/>
  </r>
  <r>
    <x v="71"/>
    <s v="October"/>
    <s v="SP500"/>
    <n v="453224"/>
    <x v="120"/>
    <n v="452689"/>
    <n v="454978"/>
    <n v="301695000000"/>
    <s v="October"/>
    <x v="0"/>
  </r>
  <r>
    <x v="71"/>
    <s v="Oct"/>
    <s v="BTCUSD"/>
    <n v="6507799"/>
    <x v="121"/>
    <n v="6141802"/>
    <n v="6324340"/>
    <n v="290873"/>
    <s v="Oct"/>
    <x v="1"/>
  </r>
  <r>
    <x v="72"/>
    <s v="October"/>
    <s v="SP500"/>
    <n v="452442"/>
    <x v="122"/>
    <n v="452440"/>
    <n v="453619"/>
    <n v="267156000000"/>
    <s v="October"/>
    <x v="0"/>
  </r>
  <r>
    <x v="72"/>
    <s v="Oct"/>
    <s v="BTCUSD"/>
    <n v="6387020"/>
    <x v="123"/>
    <n v="6354051"/>
    <n v="6507799"/>
    <n v="283659"/>
    <s v="Oct"/>
    <x v="1"/>
  </r>
  <r>
    <x v="73"/>
    <s v="October"/>
    <s v="SP500"/>
    <n v="449734"/>
    <x v="124"/>
    <n v="449641"/>
    <n v="451963"/>
    <n v="253121000000"/>
    <s v="October"/>
    <x v="0"/>
  </r>
  <r>
    <x v="73"/>
    <s v="Oct"/>
    <s v="BTCUSD"/>
    <n v="6260000"/>
    <x v="125"/>
    <n v="6131200"/>
    <n v="6387020"/>
    <n v="191415"/>
    <s v="Oct"/>
    <x v="1"/>
  </r>
  <r>
    <x v="74"/>
    <s v="October"/>
    <s v="SP500"/>
    <n v="446372"/>
    <x v="126"/>
    <n v="444747"/>
    <n v="448646"/>
    <n v="268354000000"/>
    <s v="October"/>
    <x v="0"/>
  </r>
  <r>
    <x v="74"/>
    <s v="Oct"/>
    <s v="BTCUSD"/>
    <n v="6210000"/>
    <x v="127"/>
    <n v="5992613"/>
    <n v="6260000"/>
    <n v="263153"/>
    <s v="Oct"/>
    <x v="1"/>
  </r>
  <r>
    <x v="75"/>
    <s v="Oct"/>
    <s v="BTCUSD"/>
    <n v="6114442"/>
    <x v="128"/>
    <n v="5893703"/>
    <n v="6210000"/>
    <n v="92951"/>
    <s v="Oct"/>
    <x v="1"/>
  </r>
  <r>
    <x v="76"/>
    <s v="Oct"/>
    <s v="BTCUSD"/>
    <n v="6162484"/>
    <x v="129"/>
    <n v="6017414"/>
    <n v="6114442"/>
    <n v="86457"/>
    <s v="Oct"/>
    <x v="1"/>
  </r>
  <r>
    <x v="77"/>
    <s v="October"/>
    <s v="SP500"/>
    <n v="444769"/>
    <x v="130"/>
    <n v="444769"/>
    <n v="447137"/>
    <n v="300056000000"/>
    <s v="October"/>
    <x v="0"/>
  </r>
  <r>
    <x v="77"/>
    <s v="Oct"/>
    <s v="BTCUSD"/>
    <n v="5940755"/>
    <x v="131"/>
    <n v="5876879"/>
    <n v="6162484"/>
    <n v="306946"/>
    <s v="Oct"/>
    <x v="1"/>
  </r>
  <r>
    <x v="78"/>
    <s v="October"/>
    <s v="SP500"/>
    <n v="438675"/>
    <x v="132"/>
    <n v="438675"/>
    <n v="443826"/>
    <n v="264292000000"/>
    <s v="October"/>
    <x v="0"/>
  </r>
  <r>
    <x v="78"/>
    <s v="Oct"/>
    <s v="BTCUSD"/>
    <n v="5807382"/>
    <x v="133"/>
    <n v="5680796"/>
    <n v="5940755"/>
    <n v="116689"/>
    <s v="Oct"/>
    <x v="1"/>
  </r>
  <r>
    <x v="79"/>
    <s v="October"/>
    <s v="SP500"/>
    <n v="435801"/>
    <x v="134"/>
    <n v="432992"/>
    <n v="436380"/>
    <n v="292646000000"/>
    <s v="October"/>
    <x v="0"/>
  </r>
  <r>
    <x v="79"/>
    <s v="Oct"/>
    <s v="BTCUSD"/>
    <n v="5628906"/>
    <x v="135"/>
    <n v="5425000"/>
    <n v="5807382"/>
    <n v="157470"/>
    <s v="Oct"/>
    <x v="1"/>
  </r>
  <r>
    <x v="80"/>
    <s v="October"/>
    <s v="SP500"/>
    <n v="436831"/>
    <x v="136"/>
    <n v="434209"/>
    <n v="435065"/>
    <n v="260815000000"/>
    <s v="October"/>
    <x v="0"/>
  </r>
  <r>
    <x v="80"/>
    <s v="Oct"/>
    <s v="BTCUSD"/>
    <n v="5671000"/>
    <x v="137"/>
    <n v="5391179"/>
    <n v="5628906"/>
    <n v="171392"/>
    <s v="Oct"/>
    <x v="1"/>
  </r>
  <r>
    <x v="81"/>
    <s v="October"/>
    <s v="SP500"/>
    <n v="438544"/>
    <x v="138"/>
    <n v="436059"/>
    <n v="436119"/>
    <n v="258000000000"/>
    <s v="October"/>
    <x v="0"/>
  </r>
  <r>
    <x v="81"/>
    <s v="Oct"/>
    <s v="BTCUSD"/>
    <n v="5652058"/>
    <x v="139"/>
    <n v="5583877"/>
    <n v="5671000"/>
    <n v="102791"/>
    <s v="Oct"/>
    <x v="1"/>
  </r>
  <r>
    <x v="82"/>
    <s v="Oct"/>
    <s v="BTCUSD"/>
    <n v="5504376"/>
    <x v="140"/>
    <n v="5437652"/>
    <n v="5652058"/>
    <n v="116624"/>
    <s v="Oct"/>
    <x v="1"/>
  </r>
  <r>
    <x v="83"/>
    <s v="Oct"/>
    <s v="BTCUSD"/>
    <n v="5458800"/>
    <x v="141"/>
    <n v="5411527"/>
    <n v="5504376"/>
    <n v="70772"/>
    <s v="Oct"/>
    <x v="1"/>
  </r>
  <r>
    <x v="84"/>
    <s v="October"/>
    <s v="SP500"/>
    <n v="440651"/>
    <x v="142"/>
    <n v="438622"/>
    <n v="439134"/>
    <n v="240189000000"/>
    <s v="October"/>
    <x v="0"/>
  </r>
  <r>
    <x v="84"/>
    <s v="Oct"/>
    <s v="BTCUSD"/>
    <n v="5382669"/>
    <x v="143"/>
    <n v="5365500"/>
    <n v="5458800"/>
    <n v="148578"/>
    <s v="Oct"/>
    <x v="1"/>
  </r>
  <r>
    <x v="85"/>
    <s v="October"/>
    <s v="SP500"/>
    <n v="438373"/>
    <x v="144"/>
    <n v="438373"/>
    <n v="439976"/>
    <n v="309608000000"/>
    <s v="October"/>
    <x v="0"/>
  </r>
  <r>
    <x v="85"/>
    <s v="Oct"/>
    <s v="BTCUSD"/>
    <n v="5483890"/>
    <x v="145"/>
    <n v="5336600"/>
    <n v="5382669"/>
    <n v="133883"/>
    <s v="Oct"/>
    <x v="1"/>
  </r>
  <r>
    <x v="86"/>
    <s v="October"/>
    <s v="SP500"/>
    <n v="431957"/>
    <x v="146"/>
    <n v="429049"/>
    <n v="436355"/>
    <n v="321959000000"/>
    <s v="October"/>
    <x v="0"/>
  </r>
  <r>
    <x v="86"/>
    <s v="Oct"/>
    <s v="BTCUSD"/>
    <n v="5156160"/>
    <x v="147"/>
    <n v="5041000"/>
    <n v="5483890"/>
    <n v="328823"/>
    <s v="Oct"/>
    <x v="1"/>
  </r>
  <r>
    <x v="87"/>
    <s v="October"/>
    <s v="SP500"/>
    <n v="430987"/>
    <x v="148"/>
    <n v="430987"/>
    <n v="434572"/>
    <n v="296740000000"/>
    <s v="October"/>
    <x v="0"/>
  </r>
  <r>
    <x v="87"/>
    <s v="Oct"/>
    <s v="BTCUSD"/>
    <n v="4932094"/>
    <x v="149"/>
    <n v="4910830"/>
    <n v="5156160"/>
    <n v="169152"/>
    <s v="Oct"/>
    <x v="1"/>
  </r>
  <r>
    <x v="88"/>
    <s v="October"/>
    <s v="SP500"/>
    <n v="434884"/>
    <x v="150"/>
    <n v="427894"/>
    <n v="430046"/>
    <n v="311056000000"/>
    <s v="October"/>
    <x v="0"/>
  </r>
  <r>
    <x v="88"/>
    <s v="Oct"/>
    <s v="BTCUSD"/>
    <n v="4750965"/>
    <x v="151"/>
    <n v="4692668"/>
    <n v="4932094"/>
    <n v="175541"/>
    <s v="Oct"/>
    <x v="1"/>
  </r>
  <r>
    <x v="89"/>
    <s v="Oct"/>
    <s v="BTCUSD"/>
    <n v="4789979"/>
    <x v="152"/>
    <n v="4737235"/>
    <n v="4750965"/>
    <n v="86480"/>
    <s v="Oct"/>
    <x v="1"/>
  </r>
  <r>
    <x v="90"/>
    <s v="Oct"/>
    <s v="BTCUSD"/>
    <n v="4755551"/>
    <x v="153"/>
    <n v="4714400"/>
    <n v="4789979"/>
    <n v="76186"/>
    <s v="Oct"/>
    <x v="1"/>
  </r>
  <r>
    <x v="91"/>
    <s v="October"/>
    <s v="SP500"/>
    <n v="431716"/>
    <x v="154"/>
    <n v="428852"/>
    <n v="435704"/>
    <n v="314898000000"/>
    <s v="October"/>
    <x v="0"/>
  </r>
  <r>
    <x v="91"/>
    <s v="Oct"/>
    <s v="BTCUSD"/>
    <n v="4362816"/>
    <x v="155"/>
    <n v="4347259"/>
    <n v="4755551"/>
    <n v="325402"/>
    <s v="Oct"/>
    <x v="1"/>
  </r>
  <r>
    <x v="92"/>
    <s v="September"/>
    <s v="SP500"/>
    <n v="437067"/>
    <x v="156"/>
    <n v="430624"/>
    <n v="430754"/>
    <n v="312377000000"/>
    <s v="September"/>
    <x v="0"/>
  </r>
  <r>
    <x v="92"/>
    <s v="Sep"/>
    <s v="BTCUSD"/>
    <n v="4360120"/>
    <x v="157"/>
    <n v="4270271"/>
    <n v="4362816"/>
    <n v="189152"/>
    <s v="Sep"/>
    <x v="1"/>
  </r>
  <r>
    <x v="93"/>
    <s v="September"/>
    <s v="SP500"/>
    <n v="436241"/>
    <x v="158"/>
    <n v="435508"/>
    <n v="435946"/>
    <n v="275380000000"/>
    <s v="September"/>
    <x v="0"/>
  </r>
  <r>
    <x v="93"/>
    <s v="Sep"/>
    <s v="BTCUSD"/>
    <n v="4221047"/>
    <x v="159"/>
    <n v="4090841"/>
    <n v="4360120"/>
    <n v="151158"/>
    <s v="Sep"/>
    <x v="1"/>
  </r>
  <r>
    <x v="94"/>
    <s v="September"/>
    <s v="SP500"/>
    <n v="441954"/>
    <x v="160"/>
    <n v="434633"/>
    <n v="435263"/>
    <n v="349597000000"/>
    <s v="September"/>
    <x v="0"/>
  </r>
  <r>
    <x v="94"/>
    <s v="Sep"/>
    <s v="BTCUSD"/>
    <n v="4256516"/>
    <x v="161"/>
    <n v="4076426"/>
    <n v="4221047"/>
    <n v="210450"/>
    <s v="Sep"/>
    <x v="1"/>
  </r>
  <r>
    <x v="95"/>
    <s v="September"/>
    <s v="SP500"/>
    <n v="444212"/>
    <x v="162"/>
    <n v="443619"/>
    <n v="444311"/>
    <n v="303287000000"/>
    <s v="September"/>
    <x v="0"/>
  </r>
  <r>
    <x v="95"/>
    <s v="Sep"/>
    <s v="BTCUSD"/>
    <n v="4402427"/>
    <x v="163"/>
    <n v="4198040"/>
    <n v="4256516"/>
    <n v="153106"/>
    <s v="Sep"/>
    <x v="1"/>
  </r>
  <r>
    <x v="96"/>
    <s v="Sep"/>
    <s v="BTCUSD"/>
    <n v="4223994"/>
    <x v="164"/>
    <n v="4080119"/>
    <n v="4402427"/>
    <n v="139568"/>
    <s v="Sep"/>
    <x v="1"/>
  </r>
  <r>
    <x v="97"/>
    <s v="Sep"/>
    <s v="BTCUSD"/>
    <n v="4265000"/>
    <x v="165"/>
    <n v="4167782"/>
    <n v="4223994"/>
    <n v="105807"/>
    <s v="Sep"/>
    <x v="1"/>
  </r>
  <r>
    <x v="98"/>
    <s v="September"/>
    <s v="SP500"/>
    <n v="443804"/>
    <x v="166"/>
    <n v="443027"/>
    <n v="445548"/>
    <n v="277209000000"/>
    <s v="September"/>
    <x v="0"/>
  </r>
  <r>
    <x v="98"/>
    <s v="Sep"/>
    <s v="BTCUSD"/>
    <n v="4430100"/>
    <x v="167"/>
    <n v="4069600"/>
    <n v="4265000"/>
    <n v="439827"/>
    <s v="Sep"/>
    <x v="1"/>
  </r>
  <r>
    <x v="99"/>
    <s v="September"/>
    <s v="SP500"/>
    <n v="440675"/>
    <x v="168"/>
    <n v="440675"/>
    <n v="444898"/>
    <n v="283329000000"/>
    <s v="September"/>
    <x v="0"/>
  </r>
  <r>
    <x v="99"/>
    <s v="Sep"/>
    <s v="BTCUSD"/>
    <n v="4409455"/>
    <x v="169"/>
    <n v="4338994"/>
    <n v="4430100"/>
    <n v="169982"/>
    <s v="Sep"/>
    <x v="1"/>
  </r>
  <r>
    <x v="100"/>
    <s v="September"/>
    <s v="SP500"/>
    <n v="436743"/>
    <x v="170"/>
    <n v="436743"/>
    <n v="439564"/>
    <n v="327367000000"/>
    <s v="September"/>
    <x v="0"/>
  </r>
  <r>
    <x v="100"/>
    <s v="Sep"/>
    <s v="BTCUSD"/>
    <n v="4208988"/>
    <x v="171"/>
    <n v="4183659"/>
    <n v="4409455"/>
    <n v="123861"/>
    <s v="Sep"/>
    <x v="1"/>
  </r>
  <r>
    <x v="101"/>
    <s v="September"/>
    <s v="SP500"/>
    <n v="437445"/>
    <x v="172"/>
    <n v="434796"/>
    <n v="435419"/>
    <n v="304430000000"/>
    <s v="September"/>
    <x v="0"/>
  </r>
  <r>
    <x v="101"/>
    <s v="Sep"/>
    <s v="BTCUSD"/>
    <n v="4268803"/>
    <x v="173"/>
    <n v="3959000"/>
    <n v="4208988"/>
    <n v="296261"/>
    <s v="Sep"/>
    <x v="1"/>
  </r>
  <r>
    <x v="102"/>
    <s v="September"/>
    <s v="SP500"/>
    <n v="440295"/>
    <x v="174"/>
    <n v="430591"/>
    <n v="435773"/>
    <n v="377368000000"/>
    <s v="September"/>
    <x v="0"/>
  </r>
  <r>
    <x v="102"/>
    <s v="Sep"/>
    <s v="BTCUSD"/>
    <n v="4555362"/>
    <x v="175"/>
    <n v="4013798"/>
    <n v="4268803"/>
    <n v="437338"/>
    <s v="Sep"/>
    <x v="1"/>
  </r>
  <r>
    <x v="103"/>
    <s v="Sep"/>
    <s v="BTCUSD"/>
    <n v="4785423"/>
    <x v="176"/>
    <n v="4517520"/>
    <n v="4555362"/>
    <n v="86071"/>
    <s v="Sep"/>
    <x v="1"/>
  </r>
  <r>
    <x v="104"/>
    <s v="Sep"/>
    <s v="BTCUSD"/>
    <n v="4796279"/>
    <x v="177"/>
    <n v="4761393"/>
    <n v="4785423"/>
    <n v="67136"/>
    <s v="Sep"/>
    <x v="1"/>
  </r>
  <r>
    <x v="105"/>
    <s v="September"/>
    <s v="SP500"/>
    <n v="446974"/>
    <x v="178"/>
    <n v="442776"/>
    <n v="443299"/>
    <n v="562221000000"/>
    <s v="September"/>
    <x v="0"/>
  </r>
  <r>
    <x v="105"/>
    <s v="Sep"/>
    <s v="BTCUSD"/>
    <n v="4790700"/>
    <x v="179"/>
    <n v="4675493"/>
    <n v="4796279"/>
    <n v="124738"/>
    <s v="Sep"/>
    <x v="1"/>
  </r>
  <r>
    <x v="106"/>
    <s v="September"/>
    <s v="SP500"/>
    <n v="447709"/>
    <x v="180"/>
    <n v="444380"/>
    <n v="447375"/>
    <n v="332103000000"/>
    <s v="September"/>
    <x v="0"/>
  </r>
  <r>
    <x v="106"/>
    <s v="Sep"/>
    <s v="BTCUSD"/>
    <n v="4762910"/>
    <x v="181"/>
    <n v="4704124"/>
    <n v="4790700"/>
    <n v="106957"/>
    <s v="Sep"/>
    <x v="1"/>
  </r>
  <r>
    <x v="107"/>
    <s v="September"/>
    <s v="SP500"/>
    <n v="444749"/>
    <x v="182"/>
    <n v="443837"/>
    <n v="448070"/>
    <n v="315476000000"/>
    <s v="September"/>
    <x v="0"/>
  </r>
  <r>
    <x v="107"/>
    <s v="Sep"/>
    <s v="BTCUSD"/>
    <n v="4710127"/>
    <x v="183"/>
    <n v="4673015"/>
    <n v="4762910"/>
    <n v="127662"/>
    <s v="Sep"/>
    <x v="1"/>
  </r>
  <r>
    <x v="108"/>
    <s v="September"/>
    <s v="SP500"/>
    <n v="447933"/>
    <x v="184"/>
    <n v="443546"/>
    <n v="444305"/>
    <n v="256873000000"/>
    <s v="September"/>
    <x v="0"/>
  </r>
  <r>
    <x v="108"/>
    <s v="Sep"/>
    <s v="BTCUSD"/>
    <n v="4520643"/>
    <x v="185"/>
    <n v="4506751"/>
    <n v="4710127"/>
    <n v="151606"/>
    <s v="Sep"/>
    <x v="1"/>
  </r>
  <r>
    <x v="109"/>
    <s v="September"/>
    <s v="SP500"/>
    <n v="447481"/>
    <x v="186"/>
    <n v="444570"/>
    <n v="446873"/>
    <n v="309639000000"/>
    <s v="September"/>
    <x v="0"/>
  </r>
  <r>
    <x v="109"/>
    <s v="Sep"/>
    <s v="BTCUSD"/>
    <n v="4461912"/>
    <x v="187"/>
    <n v="4340000"/>
    <n v="4520643"/>
    <n v="242225"/>
    <s v="Sep"/>
    <x v="1"/>
  </r>
  <r>
    <x v="110"/>
    <s v="Sep"/>
    <s v="BTCUSD"/>
    <n v="4531146"/>
    <x v="188"/>
    <n v="4453526"/>
    <n v="4461912"/>
    <n v="89338"/>
    <s v="Sep"/>
    <x v="1"/>
  </r>
  <r>
    <x v="111"/>
    <s v="Sep"/>
    <s v="BTCUSD"/>
    <n v="4518152"/>
    <x v="189"/>
    <n v="4475859"/>
    <n v="4531146"/>
    <n v="68532"/>
    <s v="Sep"/>
    <x v="1"/>
  </r>
  <r>
    <x v="112"/>
    <s v="September"/>
    <s v="SP500"/>
    <n v="450692"/>
    <x v="190"/>
    <n v="445766"/>
    <n v="445858"/>
    <n v="285114000000"/>
    <s v="September"/>
    <x v="0"/>
  </r>
  <r>
    <x v="112"/>
    <s v="Sep"/>
    <s v="BTCUSD"/>
    <n v="4674340"/>
    <x v="191"/>
    <n v="4415688"/>
    <n v="4518152"/>
    <n v="178343"/>
    <s v="Sep"/>
    <x v="1"/>
  </r>
  <r>
    <x v="113"/>
    <s v="September"/>
    <s v="SP500"/>
    <n v="451302"/>
    <x v="192"/>
    <n v="449207"/>
    <n v="449328"/>
    <n v="303530000000"/>
    <s v="September"/>
    <x v="0"/>
  </r>
  <r>
    <x v="113"/>
    <s v="Sep"/>
    <s v="BTCUSD"/>
    <n v="4600527"/>
    <x v="193"/>
    <n v="4565186"/>
    <n v="4674340"/>
    <n v="156322"/>
    <s v="Sep"/>
    <x v="1"/>
  </r>
  <r>
    <x v="114"/>
    <s v="September"/>
    <s v="SP500"/>
    <n v="451809"/>
    <x v="194"/>
    <n v="449395"/>
    <n v="451407"/>
    <n v="280848000000"/>
    <s v="September"/>
    <x v="0"/>
  </r>
  <r>
    <x v="114"/>
    <s v="Sep"/>
    <s v="BTCUSD"/>
    <n v="4649038"/>
    <x v="195"/>
    <n v="4441950"/>
    <n v="4600527"/>
    <n v="227731"/>
    <s v="Sep"/>
    <x v="1"/>
  </r>
  <r>
    <x v="115"/>
    <s v="September"/>
    <s v="SP500"/>
    <n v="453538"/>
    <x v="196"/>
    <n v="451300"/>
    <n v="452003"/>
    <n v="309887000000"/>
    <s v="September"/>
    <x v="0"/>
  </r>
  <r>
    <x v="115"/>
    <s v="Sep"/>
    <s v="BTCUSD"/>
    <n v="5266345"/>
    <x v="197"/>
    <n v="4260000"/>
    <n v="4649038"/>
    <n v="451357"/>
    <s v="Sep"/>
    <x v="1"/>
  </r>
  <r>
    <x v="116"/>
    <s v="Sep"/>
    <s v="BTCUSD"/>
    <n v="5163818"/>
    <x v="198"/>
    <n v="5100337"/>
    <n v="5266345"/>
    <n v="140874"/>
    <s v="Sep"/>
    <x v="1"/>
  </r>
  <r>
    <x v="117"/>
    <s v="Sep"/>
    <s v="BTCUSD"/>
    <n v="4969222"/>
    <x v="199"/>
    <n v="4950543"/>
    <n v="5163818"/>
    <n v="123114"/>
    <s v="Sep"/>
    <x v="1"/>
  </r>
  <r>
    <x v="118"/>
    <s v="Sep"/>
    <s v="BTCUSD"/>
    <n v="5029202"/>
    <x v="200"/>
    <n v="4941436"/>
    <n v="4969222"/>
    <n v="116715"/>
    <s v="Sep"/>
    <x v="1"/>
  </r>
  <r>
    <x v="119"/>
    <s v="September"/>
    <s v="SP500"/>
    <n v="453242"/>
    <x v="201"/>
    <n v="452130"/>
    <n v="453543"/>
    <n v="260966000000"/>
    <s v="September"/>
    <x v="0"/>
  </r>
  <r>
    <x v="119"/>
    <s v="Sep"/>
    <s v="BTCUSD"/>
    <n v="4948500"/>
    <x v="202"/>
    <n v="4924134"/>
    <n v="5029202"/>
    <n v="111440"/>
    <s v="Sep"/>
    <x v="1"/>
  </r>
  <r>
    <x v="120"/>
    <s v="September"/>
    <s v="SP500"/>
    <n v="453448"/>
    <x v="203"/>
    <n v="452466"/>
    <n v="453695"/>
    <n v="289701000000"/>
    <s v="September"/>
    <x v="0"/>
  </r>
  <r>
    <x v="120"/>
    <s v="Sep"/>
    <s v="BTCUSD"/>
    <n v="4959674"/>
    <x v="204"/>
    <n v="4835888"/>
    <n v="4948500"/>
    <n v="88544"/>
    <s v="Sep"/>
    <x v="1"/>
  </r>
  <r>
    <x v="121"/>
    <s v="September"/>
    <s v="SP500"/>
    <n v="452880"/>
    <x v="205"/>
    <n v="452202"/>
    <n v="452409"/>
    <n v="310183000000"/>
    <s v="September"/>
    <x v="0"/>
  </r>
  <r>
    <x v="121"/>
    <s v="Sep"/>
    <s v="BTCUSD"/>
    <n v="4705284"/>
    <x v="206"/>
    <n v="4698044"/>
    <n v="4959674"/>
    <n v="110514"/>
    <s v="Sep"/>
    <x v="1"/>
  </r>
  <r>
    <x v="122"/>
    <s v="August"/>
    <s v="SP500"/>
    <n v="452975"/>
    <x v="207"/>
    <n v="451580"/>
    <n v="452268"/>
    <n v="309038000000"/>
    <s v="August"/>
    <x v="0"/>
  </r>
  <r>
    <x v="122"/>
    <s v="Aug"/>
    <s v="BTCUSD"/>
    <n v="4715191"/>
    <x v="208"/>
    <n v="4652471"/>
    <n v="4705284"/>
    <n v="101919"/>
    <s v="Aug"/>
    <x v="1"/>
  </r>
  <r>
    <x v="123"/>
    <s v="August"/>
    <s v="SP500"/>
    <n v="451376"/>
    <x v="209"/>
    <n v="451376"/>
    <n v="452879"/>
    <n v="255730000000"/>
    <s v="August"/>
    <x v="0"/>
  </r>
  <r>
    <x v="123"/>
    <s v="Aug"/>
    <s v="BTCUSD"/>
    <n v="4798958"/>
    <x v="210"/>
    <n v="4671724"/>
    <n v="4715191"/>
    <n v="93328"/>
    <s v="Aug"/>
    <x v="1"/>
  </r>
  <r>
    <x v="124"/>
    <s v="Aug"/>
    <s v="BTCUSD"/>
    <n v="4826719"/>
    <x v="211"/>
    <n v="4780000"/>
    <n v="4798958"/>
    <n v="44677"/>
    <s v="Aug"/>
    <x v="1"/>
  </r>
  <r>
    <x v="125"/>
    <s v="Aug"/>
    <s v="BTCUSD"/>
    <n v="4890001"/>
    <x v="212"/>
    <n v="4810799"/>
    <n v="4826719"/>
    <n v="54426"/>
    <s v="Aug"/>
    <x v="1"/>
  </r>
  <r>
    <x v="126"/>
    <s v="August"/>
    <s v="SP500"/>
    <n v="447410"/>
    <x v="213"/>
    <n v="447410"/>
    <n v="450937"/>
    <n v="286236000000"/>
    <s v="August"/>
    <x v="0"/>
  </r>
  <r>
    <x v="126"/>
    <s v="Aug"/>
    <s v="BTCUSD"/>
    <n v="4684594"/>
    <x v="214"/>
    <n v="4660336"/>
    <n v="4890001"/>
    <n v="138321"/>
    <s v="Aug"/>
    <x v="1"/>
  </r>
  <r>
    <x v="127"/>
    <s v="August"/>
    <s v="SP500"/>
    <n v="449375"/>
    <x v="215"/>
    <n v="446899"/>
    <n v="447000"/>
    <n v="270460000000"/>
    <s v="August"/>
    <x v="0"/>
  </r>
  <r>
    <x v="127"/>
    <s v="Aug"/>
    <s v="BTCUSD"/>
    <n v="4793100"/>
    <x v="216"/>
    <n v="4628763"/>
    <n v="4684594"/>
    <n v="220500"/>
    <s v="Aug"/>
    <x v="1"/>
  </r>
  <r>
    <x v="128"/>
    <s v="August"/>
    <s v="SP500"/>
    <n v="449045"/>
    <x v="217"/>
    <n v="448566"/>
    <n v="449619"/>
    <n v="255468000000"/>
    <s v="August"/>
    <x v="0"/>
  </r>
  <r>
    <x v="128"/>
    <s v="Aug"/>
    <s v="BTCUSD"/>
    <n v="4799578"/>
    <x v="218"/>
    <n v="4711212"/>
    <n v="4793100"/>
    <n v="166641"/>
    <s v="Aug"/>
    <x v="1"/>
  </r>
  <r>
    <x v="129"/>
    <s v="August"/>
    <s v="SP500"/>
    <n v="448440"/>
    <x v="219"/>
    <n v="448228"/>
    <n v="448623"/>
    <n v="303777000000"/>
    <s v="August"/>
    <x v="0"/>
  </r>
  <r>
    <x v="129"/>
    <s v="Aug"/>
    <s v="BTCUSD"/>
    <n v="4935000"/>
    <x v="220"/>
    <n v="4761430"/>
    <n v="4799578"/>
    <n v="136987"/>
    <s v="Aug"/>
    <x v="1"/>
  </r>
  <r>
    <x v="130"/>
    <s v="August"/>
    <s v="SP500"/>
    <n v="445029"/>
    <x v="221"/>
    <n v="445029"/>
    <n v="447953"/>
    <n v="296552000000"/>
    <s v="August"/>
    <x v="0"/>
  </r>
  <r>
    <x v="130"/>
    <s v="Aug"/>
    <s v="BTCUSD"/>
    <n v="5028905"/>
    <x v="222"/>
    <n v="4880000"/>
    <n v="4935000"/>
    <n v="105166"/>
    <s v="Aug"/>
    <x v="1"/>
  </r>
  <r>
    <x v="131"/>
    <s v="Aug"/>
    <s v="BTCUSD"/>
    <n v="4883762"/>
    <x v="223"/>
    <n v="4807103"/>
    <n v="5028905"/>
    <n v="97481"/>
    <s v="Aug"/>
    <x v="1"/>
  </r>
  <r>
    <x v="132"/>
    <s v="Aug"/>
    <s v="BTCUSD"/>
    <n v="4883962"/>
    <x v="224"/>
    <n v="4828142"/>
    <n v="4883762"/>
    <n v="121311"/>
    <s v="Aug"/>
    <x v="1"/>
  </r>
  <r>
    <x v="133"/>
    <s v="August"/>
    <s v="SP500"/>
    <n v="441056"/>
    <x v="225"/>
    <n v="440680"/>
    <n v="444167"/>
    <n v="286777000000"/>
    <s v="August"/>
    <x v="0"/>
  </r>
  <r>
    <x v="133"/>
    <s v="Aug"/>
    <s v="BTCUSD"/>
    <n v="4704228"/>
    <x v="226"/>
    <n v="4671457"/>
    <n v="4883962"/>
    <n v="132832"/>
    <s v="Aug"/>
    <x v="1"/>
  </r>
  <r>
    <x v="134"/>
    <s v="August"/>
    <s v="SP500"/>
    <n v="438244"/>
    <x v="227"/>
    <n v="436773"/>
    <n v="440580"/>
    <n v="312084000000"/>
    <s v="August"/>
    <x v="0"/>
  </r>
  <r>
    <x v="134"/>
    <s v="Aug"/>
    <s v="BTCUSD"/>
    <n v="4407477"/>
    <x v="228"/>
    <n v="4390253"/>
    <n v="4704228"/>
    <n v="156600"/>
    <s v="Aug"/>
    <x v="1"/>
  </r>
  <r>
    <x v="135"/>
    <s v="August"/>
    <s v="SP500"/>
    <n v="444094"/>
    <x v="229"/>
    <n v="439759"/>
    <n v="440027"/>
    <n v="296521000000"/>
    <s v="August"/>
    <x v="0"/>
  </r>
  <r>
    <x v="135"/>
    <s v="Aug"/>
    <s v="BTCUSD"/>
    <n v="4507879"/>
    <x v="230"/>
    <n v="4405500"/>
    <n v="4407477"/>
    <n v="132473"/>
    <s v="Aug"/>
    <x v="1"/>
  </r>
  <r>
    <x v="136"/>
    <s v="August"/>
    <s v="SP500"/>
    <n v="446212"/>
    <x v="231"/>
    <n v="441783"/>
    <n v="444808"/>
    <n v="288400000000"/>
    <s v="August"/>
    <x v="0"/>
  </r>
  <r>
    <x v="136"/>
    <s v="Aug"/>
    <s v="BTCUSD"/>
    <n v="4643544"/>
    <x v="232"/>
    <n v="4421113"/>
    <n v="4507879"/>
    <n v="214938"/>
    <s v="Aug"/>
    <x v="1"/>
  </r>
  <r>
    <x v="137"/>
    <s v="August"/>
    <s v="SP500"/>
    <n v="446165"/>
    <x v="233"/>
    <n v="443766"/>
    <n v="447971"/>
    <n v="270717000000"/>
    <s v="August"/>
    <x v="0"/>
  </r>
  <r>
    <x v="137"/>
    <s v="Aug"/>
    <s v="BTCUSD"/>
    <n v="4740089"/>
    <x v="234"/>
    <n v="4525051"/>
    <n v="4643544"/>
    <n v="168708"/>
    <s v="Aug"/>
    <x v="1"/>
  </r>
  <r>
    <x v="138"/>
    <s v="Aug"/>
    <s v="BTCUSD"/>
    <n v="4691099"/>
    <x v="235"/>
    <n v="4550951"/>
    <n v="4740089"/>
    <n v="136076"/>
    <s v="Aug"/>
    <x v="1"/>
  </r>
  <r>
    <x v="139"/>
    <s v="Aug"/>
    <s v="BTCUSD"/>
    <n v="4757164"/>
    <x v="236"/>
    <n v="4604586"/>
    <n v="4691099"/>
    <n v="111209"/>
    <s v="Aug"/>
    <x v="1"/>
  </r>
  <r>
    <x v="140"/>
    <s v="August"/>
    <s v="SP500"/>
    <n v="446484"/>
    <x v="237"/>
    <n v="446082"/>
    <n v="446800"/>
    <n v="237163000000"/>
    <s v="August"/>
    <x v="0"/>
  </r>
  <r>
    <x v="140"/>
    <s v="Aug"/>
    <s v="BTCUSD"/>
    <n v="4520546"/>
    <x v="238"/>
    <n v="4495259"/>
    <n v="4757164"/>
    <n v="160957"/>
    <s v="Aug"/>
    <x v="1"/>
  </r>
  <r>
    <x v="141"/>
    <s v="August"/>
    <s v="SP500"/>
    <n v="444608"/>
    <x v="239"/>
    <n v="443596"/>
    <n v="446083"/>
    <n v="254386000000"/>
    <s v="August"/>
    <x v="0"/>
  </r>
  <r>
    <x v="141"/>
    <s v="Aug"/>
    <s v="BTCUSD"/>
    <n v="4594806"/>
    <x v="240"/>
    <n v="4380000"/>
    <n v="4520546"/>
    <n v="184077"/>
    <s v="Aug"/>
    <x v="1"/>
  </r>
  <r>
    <x v="142"/>
    <s v="August"/>
    <s v="SP500"/>
    <n v="444218"/>
    <x v="241"/>
    <n v="443642"/>
    <n v="444241"/>
    <n v="280306000000"/>
    <s v="August"/>
    <x v="0"/>
  </r>
  <r>
    <x v="142"/>
    <s v="Aug"/>
    <s v="BTCUSD"/>
    <n v="4559416"/>
    <x v="242"/>
    <n v="4542658"/>
    <n v="4594806"/>
    <n v="156584"/>
    <s v="Aug"/>
    <x v="1"/>
  </r>
  <r>
    <x v="143"/>
    <s v="August"/>
    <s v="SP500"/>
    <n v="443579"/>
    <x v="243"/>
    <n v="443003"/>
    <n v="443675"/>
    <n v="321984000000"/>
    <s v="August"/>
    <x v="0"/>
  </r>
  <r>
    <x v="143"/>
    <s v="Aug"/>
    <s v="BTCUSD"/>
    <n v="4572739"/>
    <x v="244"/>
    <n v="4464221"/>
    <n v="4559416"/>
    <n v="176899"/>
    <s v="Aug"/>
    <x v="1"/>
  </r>
  <r>
    <x v="144"/>
    <s v="August"/>
    <s v="SP500"/>
    <n v="443777"/>
    <x v="245"/>
    <n v="442474"/>
    <n v="443235"/>
    <n v="277988000000"/>
    <s v="August"/>
    <x v="0"/>
  </r>
  <r>
    <x v="144"/>
    <s v="Aug"/>
    <s v="BTCUSD"/>
    <n v="4352934"/>
    <x v="246"/>
    <n v="4329522"/>
    <n v="4572739"/>
    <n v="309230"/>
    <s v="Aug"/>
    <x v="1"/>
  </r>
  <r>
    <x v="145"/>
    <s v="Aug"/>
    <s v="BTCUSD"/>
    <n v="4439134"/>
    <x v="247"/>
    <n v="4281374"/>
    <n v="4352934"/>
    <n v="202349"/>
    <s v="Aug"/>
    <x v="1"/>
  </r>
  <r>
    <x v="146"/>
    <s v="Aug"/>
    <s v="BTCUSD"/>
    <n v="4372000"/>
    <x v="248"/>
    <n v="4246000"/>
    <n v="4439134"/>
    <n v="333616"/>
    <s v="Aug"/>
    <x v="1"/>
  </r>
  <r>
    <x v="147"/>
    <s v="August"/>
    <s v="SP500"/>
    <n v="442907"/>
    <x v="249"/>
    <n v="442907"/>
    <n v="443652"/>
    <n v="283997000000"/>
    <s v="August"/>
    <x v="0"/>
  </r>
  <r>
    <x v="147"/>
    <s v="Aug"/>
    <s v="BTCUSD"/>
    <n v="4025079"/>
    <x v="250"/>
    <n v="3989739"/>
    <n v="4372000"/>
    <n v="223833"/>
    <s v="Aug"/>
    <x v="1"/>
  </r>
  <r>
    <x v="148"/>
    <s v="August"/>
    <s v="SP500"/>
    <n v="440886"/>
    <x v="251"/>
    <n v="440886"/>
    <n v="442910"/>
    <n v="273422000000"/>
    <s v="August"/>
    <x v="0"/>
  </r>
  <r>
    <x v="148"/>
    <s v="Aug"/>
    <s v="BTCUSD"/>
    <n v="3944062"/>
    <x v="252"/>
    <n v="3731106"/>
    <n v="4025079"/>
    <n v="371550"/>
    <s v="Aug"/>
    <x v="1"/>
  </r>
  <r>
    <x v="149"/>
    <s v="August"/>
    <s v="SP500"/>
    <n v="441595"/>
    <x v="253"/>
    <n v="440023"/>
    <n v="440266"/>
    <n v="338262000000"/>
    <s v="August"/>
    <x v="0"/>
  </r>
  <r>
    <x v="149"/>
    <s v="Aug"/>
    <s v="BTCUSD"/>
    <n v="3796225"/>
    <x v="254"/>
    <n v="3747215"/>
    <n v="3944062"/>
    <n v="191135"/>
    <s v="Aug"/>
    <x v="1"/>
  </r>
  <r>
    <x v="150"/>
    <s v="August"/>
    <s v="SP500"/>
    <n v="439274"/>
    <x v="255"/>
    <n v="437300"/>
    <n v="442315"/>
    <n v="330534000000"/>
    <s v="August"/>
    <x v="0"/>
  </r>
  <r>
    <x v="150"/>
    <s v="Aug"/>
    <s v="BTCUSD"/>
    <n v="3865000"/>
    <x v="256"/>
    <n v="3755809"/>
    <n v="3796225"/>
    <n v="275052"/>
    <s v="Aug"/>
    <x v="1"/>
  </r>
  <r>
    <x v="151"/>
    <s v="August"/>
    <s v="SP500"/>
    <n v="440686"/>
    <x v="257"/>
    <n v="438481"/>
    <n v="438716"/>
    <n v="291994000000"/>
    <s v="August"/>
    <x v="0"/>
  </r>
  <r>
    <x v="151"/>
    <s v="Aug"/>
    <s v="BTCUSD"/>
    <n v="3981154"/>
    <x v="258"/>
    <n v="3851500"/>
    <n v="3865000"/>
    <n v="181510"/>
    <s v="Aug"/>
    <x v="1"/>
  </r>
  <r>
    <x v="152"/>
    <s v="Aug"/>
    <s v="BTCUSD"/>
    <n v="4246113"/>
    <x v="259"/>
    <n v="3921305"/>
    <n v="3981154"/>
    <n v="123792"/>
    <s v="Aug"/>
    <x v="1"/>
  </r>
  <r>
    <x v="153"/>
    <s v="Jul"/>
    <s v="BTCUSD"/>
    <n v="4184036"/>
    <x v="260"/>
    <n v="4107259"/>
    <n v="4246113"/>
    <n v="68736"/>
    <s v="Jul"/>
    <x v="1"/>
  </r>
  <r>
    <x v="154"/>
    <s v="July"/>
    <s v="SP500"/>
    <n v="439512"/>
    <x v="261"/>
    <n v="438965"/>
    <n v="439526"/>
    <n v="286160000000"/>
    <s v="July"/>
    <x v="0"/>
  </r>
  <r>
    <x v="154"/>
    <s v="Jul"/>
    <s v="BTCUSD"/>
    <n v="3998279"/>
    <x v="262"/>
    <n v="3835000"/>
    <n v="4184036"/>
    <n v="260084"/>
    <s v="Jul"/>
    <x v="1"/>
  </r>
  <r>
    <x v="155"/>
    <s v="July"/>
    <s v="SP500"/>
    <n v="440359"/>
    <x v="144"/>
    <n v="440359"/>
    <n v="441915"/>
    <n v="281551000000"/>
    <s v="July"/>
    <x v="0"/>
  </r>
  <r>
    <x v="155"/>
    <s v="Jul"/>
    <s v="BTCUSD"/>
    <n v="3963877"/>
    <x v="263"/>
    <n v="3940940"/>
    <n v="3998279"/>
    <n v="156172"/>
    <s v="Jul"/>
    <x v="1"/>
  </r>
  <r>
    <x v="156"/>
    <s v="July"/>
    <s v="SP500"/>
    <n v="440295"/>
    <x v="264"/>
    <n v="438701"/>
    <n v="440064"/>
    <n v="321513000000"/>
    <s v="July"/>
    <x v="0"/>
  </r>
  <r>
    <x v="156"/>
    <s v="Jul"/>
    <s v="BTCUSD"/>
    <n v="3984844"/>
    <x v="265"/>
    <n v="3880347"/>
    <n v="3963877"/>
    <n v="368236"/>
    <s v="Jul"/>
    <x v="1"/>
  </r>
  <r>
    <x v="157"/>
    <s v="July"/>
    <s v="SP500"/>
    <n v="441638"/>
    <x v="266"/>
    <n v="437251"/>
    <n v="440146"/>
    <n v="338108000000"/>
    <s v="July"/>
    <x v="0"/>
  </r>
  <r>
    <x v="157"/>
    <s v="Jul"/>
    <s v="BTCUSD"/>
    <n v="3685152"/>
    <x v="267"/>
    <n v="3671313"/>
    <n v="3984844"/>
    <n v="572911"/>
    <s v="Jul"/>
    <x v="1"/>
  </r>
  <r>
    <x v="158"/>
    <s v="July"/>
    <s v="SP500"/>
    <n v="440958"/>
    <x v="268"/>
    <n v="440545"/>
    <n v="442230"/>
    <n v="267911000000"/>
    <s v="July"/>
    <x v="0"/>
  </r>
  <r>
    <x v="158"/>
    <s v="Jul"/>
    <s v="BTCUSD"/>
    <n v="3831257"/>
    <x v="269"/>
    <n v="3640000"/>
    <n v="3685152"/>
    <n v="502111"/>
    <s v="Jul"/>
    <x v="1"/>
  </r>
  <r>
    <x v="159"/>
    <s v="Jul"/>
    <s v="BTCUSD"/>
    <n v="3419214"/>
    <x v="270"/>
    <n v="3389422"/>
    <n v="3831257"/>
    <n v="355808"/>
    <s v="Jul"/>
    <x v="1"/>
  </r>
  <r>
    <x v="160"/>
    <s v="Jul"/>
    <s v="BTCUSD"/>
    <n v="3368958"/>
    <x v="271"/>
    <n v="3358240"/>
    <n v="3419214"/>
    <n v="78546"/>
    <s v="Jul"/>
    <x v="1"/>
  </r>
  <r>
    <x v="161"/>
    <s v="July"/>
    <s v="SP500"/>
    <n v="438120"/>
    <x v="272"/>
    <n v="438120"/>
    <n v="441179"/>
    <n v="349073000000"/>
    <s v="July"/>
    <x v="0"/>
  </r>
  <r>
    <x v="161"/>
    <s v="Jul"/>
    <s v="BTCUSD"/>
    <n v="3259843"/>
    <x v="273"/>
    <n v="3200000"/>
    <n v="3368958"/>
    <n v="131958"/>
    <s v="Jul"/>
    <x v="1"/>
  </r>
  <r>
    <x v="162"/>
    <s v="July"/>
    <s v="SP500"/>
    <n v="436127"/>
    <x v="274"/>
    <n v="435006"/>
    <n v="436748"/>
    <n v="290791000000"/>
    <s v="July"/>
    <x v="0"/>
  </r>
  <r>
    <x v="162"/>
    <s v="Jul"/>
    <s v="BTCUSD"/>
    <n v="3194752"/>
    <x v="275"/>
    <n v="3173234"/>
    <n v="3259843"/>
    <n v="122310"/>
    <s v="Jul"/>
    <x v="1"/>
  </r>
  <r>
    <x v="163"/>
    <s v="July"/>
    <s v="SP500"/>
    <n v="433113"/>
    <x v="276"/>
    <n v="433113"/>
    <n v="435869"/>
    <n v="307855000000"/>
    <s v="July"/>
    <x v="0"/>
  </r>
  <r>
    <x v="163"/>
    <s v="Jul"/>
    <s v="BTCUSD"/>
    <n v="2985386"/>
    <x v="277"/>
    <n v="2985386"/>
    <n v="3194752"/>
    <n v="302328"/>
    <s v="Jul"/>
    <x v="1"/>
  </r>
  <r>
    <x v="164"/>
    <s v="July"/>
    <s v="SP500"/>
    <n v="426511"/>
    <x v="278"/>
    <n v="426205"/>
    <n v="432306"/>
    <n v="363419000000"/>
    <s v="July"/>
    <x v="0"/>
  </r>
  <r>
    <x v="164"/>
    <s v="Jul"/>
    <s v="BTCUSD"/>
    <n v="2960535"/>
    <x v="279"/>
    <n v="2928435"/>
    <n v="2985386"/>
    <n v="207528"/>
    <s v="Jul"/>
    <x v="1"/>
  </r>
  <r>
    <x v="165"/>
    <s v="July"/>
    <s v="SP500"/>
    <n v="429640"/>
    <x v="280"/>
    <n v="423313"/>
    <n v="425849"/>
    <n v="415579000000"/>
    <s v="July"/>
    <x v="0"/>
  </r>
  <r>
    <x v="165"/>
    <s v="Jul"/>
    <s v="BTCUSD"/>
    <n v="3154722"/>
    <x v="281"/>
    <n v="2950000"/>
    <n v="2960535"/>
    <n v="218444"/>
    <s v="Jul"/>
    <x v="1"/>
  </r>
  <r>
    <x v="166"/>
    <s v="Jul"/>
    <s v="BTCUSD"/>
    <n v="3216982"/>
    <x v="282"/>
    <n v="3112300"/>
    <n v="3154722"/>
    <n v="57289"/>
    <s v="Jul"/>
    <x v="1"/>
  </r>
  <r>
    <x v="167"/>
    <s v="Jul"/>
    <s v="BTCUSD"/>
    <n v="3131383"/>
    <x v="283"/>
    <n v="3120623"/>
    <n v="3216982"/>
    <n v="76531"/>
    <s v="Jul"/>
    <x v="1"/>
  </r>
  <r>
    <x v="168"/>
    <s v="July"/>
    <s v="SP500"/>
    <n v="436743"/>
    <x v="284"/>
    <n v="432253"/>
    <n v="432716"/>
    <n v="316516000000"/>
    <s v="July"/>
    <x v="0"/>
  </r>
  <r>
    <x v="168"/>
    <s v="Jul"/>
    <s v="BTCUSD"/>
    <n v="3192493"/>
    <x v="285"/>
    <n v="3102701"/>
    <n v="3131383"/>
    <n v="135502"/>
    <s v="Jul"/>
    <x v="1"/>
  </r>
  <r>
    <x v="169"/>
    <s v="July"/>
    <s v="SP500"/>
    <n v="436902"/>
    <x v="286"/>
    <n v="434070"/>
    <n v="436003"/>
    <n v="322693000000"/>
    <s v="July"/>
    <x v="0"/>
  </r>
  <r>
    <x v="169"/>
    <s v="Jul"/>
    <s v="BTCUSD"/>
    <n v="3267154"/>
    <x v="287"/>
    <n v="3113500"/>
    <n v="3192493"/>
    <n v="153441"/>
    <s v="Jul"/>
    <x v="1"/>
  </r>
  <r>
    <x v="170"/>
    <s v="July"/>
    <s v="SP500"/>
    <n v="438011"/>
    <x v="288"/>
    <n v="436236"/>
    <n v="437430"/>
    <n v="321387000000"/>
    <s v="July"/>
    <x v="0"/>
  </r>
  <r>
    <x v="170"/>
    <s v="Jul"/>
    <s v="BTCUSD"/>
    <n v="3185369"/>
    <x v="289"/>
    <n v="3160159"/>
    <n v="3267154"/>
    <n v="108312"/>
    <s v="Jul"/>
    <x v="1"/>
  </r>
  <r>
    <x v="171"/>
    <s v="July"/>
    <s v="SP500"/>
    <n v="438107"/>
    <x v="290"/>
    <n v="436692"/>
    <n v="436921"/>
    <n v="316690000000"/>
    <s v="July"/>
    <x v="0"/>
  </r>
  <r>
    <x v="171"/>
    <s v="Jul"/>
    <s v="BTCUSD"/>
    <n v="3308726"/>
    <x v="291"/>
    <n v="3166101"/>
    <n v="3185369"/>
    <n v="128207"/>
    <s v="Jul"/>
    <x v="1"/>
  </r>
  <r>
    <x v="172"/>
    <s v="July"/>
    <s v="SP500"/>
    <n v="437241"/>
    <x v="292"/>
    <n v="436403"/>
    <n v="438463"/>
    <n v="298398000000"/>
    <s v="July"/>
    <x v="0"/>
  </r>
  <r>
    <x v="172"/>
    <s v="Jul"/>
    <s v="BTCUSD"/>
    <n v="3445239"/>
    <x v="293"/>
    <n v="3266989"/>
    <n v="3308726"/>
    <n v="132229"/>
    <s v="Jul"/>
    <x v="1"/>
  </r>
  <r>
    <x v="173"/>
    <s v="Jul"/>
    <s v="BTCUSD"/>
    <n v="3342084"/>
    <x v="294"/>
    <n v="3333301"/>
    <n v="3445239"/>
    <n v="81686"/>
    <s v="Jul"/>
    <x v="1"/>
  </r>
  <r>
    <x v="174"/>
    <s v="Jul"/>
    <s v="BTCUSD"/>
    <n v="3379981"/>
    <x v="295"/>
    <n v="3304600"/>
    <n v="3342084"/>
    <n v="80355"/>
    <s v="Jul"/>
    <x v="1"/>
  </r>
  <r>
    <x v="175"/>
    <s v="July"/>
    <s v="SP500"/>
    <n v="432938"/>
    <x v="296"/>
    <n v="432938"/>
    <n v="436955"/>
    <n v="273828000000"/>
    <s v="July"/>
    <x v="0"/>
  </r>
  <r>
    <x v="175"/>
    <s v="Jul"/>
    <s v="BTCUSD"/>
    <n v="3295475"/>
    <x v="297"/>
    <n v="3262574"/>
    <n v="3379981"/>
    <n v="127326"/>
    <s v="Jul"/>
    <x v="1"/>
  </r>
  <r>
    <x v="176"/>
    <s v="July"/>
    <s v="SP500"/>
    <n v="432107"/>
    <x v="298"/>
    <n v="428937"/>
    <n v="432082"/>
    <n v="339378000000"/>
    <s v="July"/>
    <x v="0"/>
  </r>
  <r>
    <x v="176"/>
    <s v="Jul"/>
    <s v="BTCUSD"/>
    <n v="3333700"/>
    <x v="299"/>
    <n v="3210100"/>
    <n v="3295475"/>
    <n v="206301"/>
    <s v="Jul"/>
    <x v="1"/>
  </r>
  <r>
    <x v="177"/>
    <s v="July"/>
    <s v="SP500"/>
    <n v="435101"/>
    <x v="300"/>
    <n v="432979"/>
    <n v="435813"/>
    <n v="324390000000"/>
    <s v="July"/>
    <x v="0"/>
  </r>
  <r>
    <x v="177"/>
    <s v="Jul"/>
    <s v="BTCUSD"/>
    <n v="3446535"/>
    <x v="301"/>
    <n v="3309464"/>
    <n v="3333700"/>
    <n v="148576"/>
    <s v="Jul"/>
    <x v="1"/>
  </r>
  <r>
    <x v="178"/>
    <s v="July"/>
    <s v="SP500"/>
    <n v="435646"/>
    <x v="302"/>
    <n v="431437"/>
    <n v="434354"/>
    <n v="343790000000"/>
    <s v="July"/>
    <x v="0"/>
  </r>
  <r>
    <x v="178"/>
    <s v="Jul"/>
    <s v="BTCUSD"/>
    <n v="3394222"/>
    <x v="303"/>
    <n v="3353040"/>
    <n v="3446535"/>
    <n v="203950"/>
    <s v="Jul"/>
    <x v="1"/>
  </r>
  <r>
    <x v="179"/>
    <s v="Jul"/>
    <s v="BTCUSD"/>
    <n v="3436084"/>
    <x v="304"/>
    <n v="3310000"/>
    <n v="3394222"/>
    <n v="132366"/>
    <s v="Jul"/>
    <x v="1"/>
  </r>
  <r>
    <x v="180"/>
    <s v="Jul"/>
    <s v="BTCUSD"/>
    <n v="3467000"/>
    <x v="305"/>
    <n v="3421129"/>
    <n v="3436084"/>
    <n v="107360"/>
    <s v="Jul"/>
    <x v="1"/>
  </r>
  <r>
    <x v="181"/>
    <s v="Jul"/>
    <s v="BTCUSD"/>
    <n v="3354048"/>
    <x v="306"/>
    <n v="3346662"/>
    <n v="3467000"/>
    <n v="64793"/>
    <s v="Jul"/>
    <x v="1"/>
  </r>
  <r>
    <x v="182"/>
    <s v="July"/>
    <s v="SP500"/>
    <n v="432660"/>
    <x v="307"/>
    <n v="432660"/>
    <n v="435234"/>
    <n v="262855000000"/>
    <s v="July"/>
    <x v="0"/>
  </r>
  <r>
    <x v="182"/>
    <s v="Jul"/>
    <s v="BTCUSD"/>
    <n v="3293344"/>
    <x v="308"/>
    <n v="3270000"/>
    <n v="3354048"/>
    <n v="132123"/>
    <s v="Jul"/>
    <x v="1"/>
  </r>
  <r>
    <x v="183"/>
    <s v="July"/>
    <s v="SP500"/>
    <n v="430073"/>
    <x v="309"/>
    <n v="430073"/>
    <n v="431994"/>
    <n v="307758000000"/>
    <s v="July"/>
    <x v="0"/>
  </r>
  <r>
    <x v="183"/>
    <s v="Jul"/>
    <s v="BTCUSD"/>
    <n v="3413204"/>
    <x v="310"/>
    <n v="3272269"/>
    <n v="3293344"/>
    <n v="224046"/>
    <s v="Jul"/>
    <x v="1"/>
  </r>
  <r>
    <x v="184"/>
    <s v="June"/>
    <s v="SP500"/>
    <n v="429065"/>
    <x v="311"/>
    <n v="428796"/>
    <n v="429750"/>
    <n v="368788000000"/>
    <s v="June"/>
    <x v="0"/>
  </r>
  <r>
    <x v="184"/>
    <s v="Jun"/>
    <s v="BTCUSD"/>
    <n v="3509544"/>
    <x v="312"/>
    <n v="3405000"/>
    <n v="3413204"/>
    <n v="203163"/>
    <s v="Jun"/>
    <x v="1"/>
  </r>
  <r>
    <x v="185"/>
    <s v="June"/>
    <s v="SP500"/>
    <n v="429321"/>
    <x v="313"/>
    <n v="428704"/>
    <n v="429180"/>
    <n v="304956000000"/>
    <s v="June"/>
    <x v="0"/>
  </r>
  <r>
    <x v="185"/>
    <s v="Jun"/>
    <s v="BTCUSD"/>
    <n v="3459162"/>
    <x v="314"/>
    <n v="3455607"/>
    <n v="3509544"/>
    <n v="301266"/>
    <s v="Jun"/>
    <x v="1"/>
  </r>
  <r>
    <x v="186"/>
    <s v="June"/>
    <s v="SP500"/>
    <n v="428490"/>
    <x v="315"/>
    <n v="427467"/>
    <n v="429061"/>
    <n v="341561000000"/>
    <s v="June"/>
    <x v="0"/>
  </r>
  <r>
    <x v="186"/>
    <s v="Jun"/>
    <s v="BTCUSD"/>
    <n v="3438862"/>
    <x v="316"/>
    <n v="3388515"/>
    <n v="3459162"/>
    <n v="292354"/>
    <s v="Jun"/>
    <x v="1"/>
  </r>
  <r>
    <x v="187"/>
    <s v="Jun"/>
    <s v="BTCUSD"/>
    <n v="3314918"/>
    <x v="317"/>
    <n v="3237405"/>
    <n v="3438862"/>
    <n v="222939"/>
    <s v="Jun"/>
    <x v="1"/>
  </r>
  <r>
    <x v="188"/>
    <s v="Jun"/>
    <s v="BTCUSD"/>
    <n v="3198386"/>
    <x v="318"/>
    <n v="3014268"/>
    <n v="3314918"/>
    <n v="358391"/>
    <s v="Jun"/>
    <x v="1"/>
  </r>
  <r>
    <x v="189"/>
    <s v="June"/>
    <s v="SP500"/>
    <n v="427445"/>
    <x v="319"/>
    <n v="427116"/>
    <n v="428070"/>
    <n v="624839000000"/>
    <s v="June"/>
    <x v="0"/>
  </r>
  <r>
    <x v="189"/>
    <s v="Jun"/>
    <s v="BTCUSD"/>
    <n v="3510000"/>
    <x v="320"/>
    <n v="3130371"/>
    <n v="3198386"/>
    <n v="368214"/>
    <s v="Jun"/>
    <x v="1"/>
  </r>
  <r>
    <x v="190"/>
    <s v="June"/>
    <s v="SP500"/>
    <n v="425697"/>
    <x v="321"/>
    <n v="425697"/>
    <n v="426649"/>
    <n v="314168000000"/>
    <s v="June"/>
    <x v="0"/>
  </r>
  <r>
    <x v="190"/>
    <s v="Jun"/>
    <s v="BTCUSD"/>
    <n v="3260696"/>
    <x v="322"/>
    <n v="3231501"/>
    <n v="3510000"/>
    <n v="225734"/>
    <s v="Jun"/>
    <x v="1"/>
  </r>
  <r>
    <x v="191"/>
    <s v="June"/>
    <s v="SP500"/>
    <n v="424927"/>
    <x v="323"/>
    <n v="424143"/>
    <n v="424184"/>
    <n v="317244000000"/>
    <s v="June"/>
    <x v="0"/>
  </r>
  <r>
    <x v="191"/>
    <s v="Jun"/>
    <s v="BTCUSD"/>
    <n v="3399288"/>
    <x v="324"/>
    <n v="3235504"/>
    <n v="3260696"/>
    <n v="341398"/>
    <s v="Jun"/>
    <x v="1"/>
  </r>
  <r>
    <x v="192"/>
    <s v="June"/>
    <s v="SP500"/>
    <n v="422461"/>
    <x v="325"/>
    <n v="421727"/>
    <n v="424644"/>
    <n v="320876000000"/>
    <s v="June"/>
    <x v="0"/>
  </r>
  <r>
    <x v="192"/>
    <s v="Jun"/>
    <s v="BTCUSD"/>
    <n v="3302977"/>
    <x v="326"/>
    <n v="2880100"/>
    <n v="3399288"/>
    <n v="1003663"/>
    <s v="Jun"/>
    <x v="1"/>
  </r>
  <r>
    <x v="193"/>
    <s v="June"/>
    <s v="SP500"/>
    <n v="417340"/>
    <x v="327"/>
    <n v="417340"/>
    <n v="422479"/>
    <n v="339174000000"/>
    <s v="June"/>
    <x v="0"/>
  </r>
  <r>
    <x v="193"/>
    <s v="Jun"/>
    <s v="BTCUSD"/>
    <n v="3462988"/>
    <x v="328"/>
    <n v="3117642"/>
    <n v="3302977"/>
    <n v="715394"/>
    <s v="Jun"/>
    <x v="1"/>
  </r>
  <r>
    <x v="194"/>
    <s v="Jun"/>
    <s v="BTCUSD"/>
    <n v="3552066"/>
    <x v="329"/>
    <n v="3333301"/>
    <n v="3462988"/>
    <n v="281674"/>
    <s v="Jun"/>
    <x v="1"/>
  </r>
  <r>
    <x v="195"/>
    <s v="Jun"/>
    <s v="BTCUSD"/>
    <n v="3512923"/>
    <x v="330"/>
    <n v="3497025"/>
    <n v="3552066"/>
    <n v="161101"/>
    <s v="Jun"/>
    <x v="1"/>
  </r>
  <r>
    <x v="196"/>
    <s v="June"/>
    <s v="SP500"/>
    <n v="420478"/>
    <x v="331"/>
    <n v="416440"/>
    <n v="416645"/>
    <n v="608498000000"/>
    <s v="June"/>
    <x v="0"/>
  </r>
  <r>
    <x v="196"/>
    <s v="Jun"/>
    <s v="BTCUSD"/>
    <n v="3793820"/>
    <x v="332"/>
    <n v="3484533"/>
    <n v="3512923"/>
    <n v="295868"/>
    <s v="Jun"/>
    <x v="1"/>
  </r>
  <r>
    <x v="197"/>
    <s v="June"/>
    <s v="SP500"/>
    <n v="422037"/>
    <x v="333"/>
    <n v="419605"/>
    <n v="422186"/>
    <n v="395211000000"/>
    <s v="June"/>
    <x v="0"/>
  </r>
  <r>
    <x v="197"/>
    <s v="Jun"/>
    <s v="BTCUSD"/>
    <n v="3887500"/>
    <x v="334"/>
    <n v="3722162"/>
    <n v="3793820"/>
    <n v="252423"/>
    <s v="Jun"/>
    <x v="1"/>
  </r>
  <r>
    <x v="198"/>
    <s v="June"/>
    <s v="SP500"/>
    <n v="424887"/>
    <x v="335"/>
    <n v="420245"/>
    <n v="422370"/>
    <n v="372205000000"/>
    <s v="June"/>
    <x v="0"/>
  </r>
  <r>
    <x v="198"/>
    <s v="Jun"/>
    <s v="BTCUSD"/>
    <n v="4004369"/>
    <x v="336"/>
    <n v="3805901"/>
    <n v="3887500"/>
    <n v="278360"/>
    <s v="Jun"/>
    <x v="1"/>
  </r>
  <r>
    <x v="199"/>
    <s v="June"/>
    <s v="SP500"/>
    <n v="425528"/>
    <x v="337"/>
    <n v="423835"/>
    <n v="424659"/>
    <n v="357845000000"/>
    <s v="June"/>
    <x v="0"/>
  </r>
  <r>
    <x v="199"/>
    <s v="Jun"/>
    <s v="BTCUSD"/>
    <n v="4042938"/>
    <x v="338"/>
    <n v="3950390"/>
    <n v="4004369"/>
    <n v="268761"/>
    <s v="Jun"/>
    <x v="1"/>
  </r>
  <r>
    <x v="200"/>
    <s v="June"/>
    <s v="SP500"/>
    <n v="424831"/>
    <x v="339"/>
    <n v="423407"/>
    <n v="425515"/>
    <n v="361205000000"/>
    <s v="June"/>
    <x v="0"/>
  </r>
  <r>
    <x v="200"/>
    <s v="Jun"/>
    <s v="BTCUSD"/>
    <n v="3898850"/>
    <x v="340"/>
    <n v="3880750"/>
    <n v="4042938"/>
    <n v="271945"/>
    <s v="Jun"/>
    <x v="1"/>
  </r>
  <r>
    <x v="201"/>
    <s v="Jun"/>
    <s v="BTCUSD"/>
    <n v="3487730"/>
    <x v="341"/>
    <n v="3479266"/>
    <n v="3898850"/>
    <n v="240683"/>
    <s v="Jun"/>
    <x v="1"/>
  </r>
  <r>
    <x v="202"/>
    <s v="Jun"/>
    <s v="BTCUSD"/>
    <n v="3559129"/>
    <x v="342"/>
    <n v="3465599"/>
    <n v="3487730"/>
    <n v="129816"/>
    <s v="Jun"/>
    <x v="1"/>
  </r>
  <r>
    <x v="203"/>
    <s v="June"/>
    <s v="SP500"/>
    <n v="424290"/>
    <x v="343"/>
    <n v="423225"/>
    <n v="424744"/>
    <n v="320428000000"/>
    <s v="June"/>
    <x v="0"/>
  </r>
  <r>
    <x v="203"/>
    <s v="Jun"/>
    <s v="BTCUSD"/>
    <n v="3678437"/>
    <x v="344"/>
    <n v="3530769"/>
    <n v="3559129"/>
    <n v="202780"/>
    <s v="Jun"/>
    <x v="1"/>
  </r>
  <r>
    <x v="204"/>
    <s v="June"/>
    <s v="SP500"/>
    <n v="422856"/>
    <x v="345"/>
    <n v="422034"/>
    <n v="423918"/>
    <n v="350248000000"/>
    <s v="June"/>
    <x v="0"/>
  </r>
  <r>
    <x v="204"/>
    <s v="Jun"/>
    <s v="BTCUSD"/>
    <n v="3698283"/>
    <x v="346"/>
    <n v="3581967"/>
    <n v="3678437"/>
    <n v="295952"/>
    <s v="Jun"/>
    <x v="1"/>
  </r>
  <r>
    <x v="205"/>
    <s v="June"/>
    <s v="SP500"/>
    <n v="423299"/>
    <x v="347"/>
    <n v="421874"/>
    <n v="421955"/>
    <n v="390287000000"/>
    <s v="June"/>
    <x v="0"/>
  </r>
  <r>
    <x v="205"/>
    <s v="Jun"/>
    <s v="BTCUSD"/>
    <n v="3289806"/>
    <x v="348"/>
    <n v="3257584"/>
    <n v="3698283"/>
    <n v="419037"/>
    <s v="Jun"/>
    <x v="1"/>
  </r>
  <r>
    <x v="206"/>
    <s v="June"/>
    <s v="SP500"/>
    <n v="423381"/>
    <x v="349"/>
    <n v="420841"/>
    <n v="422726"/>
    <n v="394387000000"/>
    <s v="June"/>
    <x v="0"/>
  </r>
  <r>
    <x v="206"/>
    <s v="Jun"/>
    <s v="BTCUSD"/>
    <n v="3284315"/>
    <x v="350"/>
    <n v="3100001"/>
    <n v="3289806"/>
    <n v="514919"/>
    <s v="Jun"/>
    <x v="1"/>
  </r>
  <r>
    <x v="207"/>
    <s v="June"/>
    <s v="SP500"/>
    <n v="422934"/>
    <x v="351"/>
    <n v="421566"/>
    <n v="422652"/>
    <n v="383557000000"/>
    <s v="June"/>
    <x v="0"/>
  </r>
  <r>
    <x v="207"/>
    <s v="Jun"/>
    <s v="BTCUSD"/>
    <n v="3639750"/>
    <x v="352"/>
    <n v="3240001"/>
    <n v="3284315"/>
    <n v="351860"/>
    <s v="Jun"/>
    <x v="1"/>
  </r>
  <r>
    <x v="208"/>
    <s v="Jun"/>
    <s v="BTCUSD"/>
    <n v="3602516"/>
    <x v="353"/>
    <n v="3525998"/>
    <n v="3639750"/>
    <n v="100772"/>
    <s v="Jun"/>
    <x v="1"/>
  </r>
  <r>
    <x v="209"/>
    <s v="Jun"/>
    <s v="BTCUSD"/>
    <n v="3741982"/>
    <x v="354"/>
    <n v="3482000"/>
    <n v="3602516"/>
    <n v="245443"/>
    <s v="Jun"/>
    <x v="1"/>
  </r>
  <r>
    <x v="210"/>
    <s v="June"/>
    <s v="SP500"/>
    <n v="420605"/>
    <x v="355"/>
    <n v="420605"/>
    <n v="422989"/>
    <n v="348707000000"/>
    <s v="June"/>
    <x v="0"/>
  </r>
  <r>
    <x v="210"/>
    <s v="Jun"/>
    <s v="BTCUSD"/>
    <n v="3796361"/>
    <x v="356"/>
    <n v="3558082"/>
    <n v="3741982"/>
    <n v="230076"/>
    <s v="Jun"/>
    <x v="1"/>
  </r>
  <r>
    <x v="211"/>
    <s v="June"/>
    <s v="SP500"/>
    <n v="419143"/>
    <x v="357"/>
    <n v="416793"/>
    <n v="419285"/>
    <n v="457945000000"/>
    <s v="June"/>
    <x v="0"/>
  </r>
  <r>
    <x v="211"/>
    <s v="Jun"/>
    <s v="BTCUSD"/>
    <n v="3765554"/>
    <x v="358"/>
    <n v="3740000"/>
    <n v="3796361"/>
    <n v="178628"/>
    <s v="Jun"/>
    <x v="1"/>
  </r>
  <r>
    <x v="212"/>
    <s v="June"/>
    <s v="SP500"/>
    <n v="420682"/>
    <x v="359"/>
    <n v="419827"/>
    <n v="420812"/>
    <n v="486093000000"/>
    <s v="June"/>
    <x v="0"/>
  </r>
  <r>
    <x v="212"/>
    <s v="Jun"/>
    <s v="BTCUSD"/>
    <n v="3648357"/>
    <x v="360"/>
    <n v="3647897"/>
    <n v="3765554"/>
    <n v="161275"/>
    <s v="Jun"/>
    <x v="1"/>
  </r>
  <r>
    <x v="213"/>
    <s v="June"/>
    <s v="SP500"/>
    <n v="421652"/>
    <x v="361"/>
    <n v="419759"/>
    <n v="420204"/>
    <n v="412296000000"/>
    <s v="June"/>
    <x v="0"/>
  </r>
  <r>
    <x v="213"/>
    <s v="Jun"/>
    <s v="BTCUSD"/>
    <n v="3670288"/>
    <x v="362"/>
    <n v="3568700"/>
    <n v="3648357"/>
    <n v="234726"/>
    <s v="Jun"/>
    <x v="1"/>
  </r>
  <r>
    <x v="214"/>
    <s v="May"/>
    <s v="BTCUSD"/>
    <n v="3453671"/>
    <x v="363"/>
    <n v="3420000"/>
    <n v="3670288"/>
    <n v="164940"/>
    <s v="May"/>
    <x v="1"/>
  </r>
  <r>
    <x v="215"/>
    <s v="May"/>
    <s v="BTCUSD"/>
    <n v="3480529"/>
    <x v="364"/>
    <n v="3429801"/>
    <n v="3453671"/>
    <n v="156238"/>
    <s v="May"/>
    <x v="1"/>
  </r>
  <r>
    <x v="216"/>
    <s v="May"/>
    <s v="BTCUSD"/>
    <n v="3650331"/>
    <x v="365"/>
    <n v="3341029"/>
    <n v="3480529"/>
    <n v="221216"/>
    <s v="May"/>
    <x v="1"/>
  </r>
  <r>
    <x v="217"/>
    <s v="May"/>
    <s v="SP500"/>
    <n v="421077"/>
    <x v="366"/>
    <n v="420357"/>
    <n v="420411"/>
    <n v="419927000000"/>
    <s v="May"/>
    <x v="0"/>
  </r>
  <r>
    <x v="217"/>
    <s v="May"/>
    <s v="BTCUSD"/>
    <n v="3827159"/>
    <x v="367"/>
    <n v="3455800"/>
    <n v="3650331"/>
    <n v="354135"/>
    <s v="May"/>
    <x v="1"/>
  </r>
  <r>
    <x v="218"/>
    <s v="May"/>
    <s v="SP500"/>
    <n v="420194"/>
    <x v="368"/>
    <n v="419778"/>
    <n v="420088"/>
    <n v="520111000000"/>
    <s v="May"/>
    <x v="0"/>
  </r>
  <r>
    <x v="218"/>
    <s v="May"/>
    <s v="BTCUSD"/>
    <n v="3767247"/>
    <x v="369"/>
    <n v="3730206"/>
    <n v="3827159"/>
    <n v="214075"/>
    <s v="May"/>
    <x v="1"/>
  </r>
  <r>
    <x v="219"/>
    <s v="May"/>
    <s v="SP500"/>
    <n v="419159"/>
    <x v="370"/>
    <n v="418411"/>
    <n v="419599"/>
    <n v="367449000000"/>
    <s v="May"/>
    <x v="0"/>
  </r>
  <r>
    <x v="219"/>
    <s v="May"/>
    <s v="BTCUSD"/>
    <n v="3957233"/>
    <x v="371"/>
    <n v="3711709"/>
    <n v="3767247"/>
    <n v="310107"/>
    <s v="May"/>
    <x v="1"/>
  </r>
  <r>
    <x v="220"/>
    <s v="May"/>
    <s v="SP500"/>
    <n v="420594"/>
    <x v="372"/>
    <n v="418252"/>
    <n v="418813"/>
    <n v="342087000000"/>
    <s v="May"/>
    <x v="0"/>
  </r>
  <r>
    <x v="220"/>
    <s v="May"/>
    <s v="BTCUSD"/>
    <n v="3838809"/>
    <x v="373"/>
    <n v="3648942"/>
    <n v="3957233"/>
    <n v="290935"/>
    <s v="May"/>
    <x v="1"/>
  </r>
  <r>
    <x v="221"/>
    <s v="May"/>
    <s v="SP500"/>
    <n v="417016"/>
    <x v="374"/>
    <n v="417016"/>
    <n v="419705"/>
    <n v="294740000000"/>
    <s v="May"/>
    <x v="0"/>
  </r>
  <r>
    <x v="221"/>
    <s v="May"/>
    <s v="BTCUSD"/>
    <n v="3531886"/>
    <x v="375"/>
    <n v="3442641"/>
    <n v="3838809"/>
    <n v="470608"/>
    <s v="May"/>
    <x v="1"/>
  </r>
  <r>
    <x v="222"/>
    <s v="May"/>
    <s v="BTCUSD"/>
    <n v="3748418"/>
    <x v="376"/>
    <n v="3110414"/>
    <n v="3531886"/>
    <n v="714310"/>
    <s v="May"/>
    <x v="1"/>
  </r>
  <r>
    <x v="223"/>
    <s v="May"/>
    <s v="BTCUSD"/>
    <n v="3696352"/>
    <x v="377"/>
    <n v="3527209"/>
    <n v="3748418"/>
    <n v="241886"/>
    <s v="May"/>
    <x v="1"/>
  </r>
  <r>
    <x v="224"/>
    <s v="May"/>
    <s v="SP500"/>
    <n v="416861"/>
    <x v="378"/>
    <n v="415172"/>
    <n v="415586"/>
    <n v="334462000000"/>
    <s v="May"/>
    <x v="0"/>
  </r>
  <r>
    <x v="224"/>
    <s v="May"/>
    <s v="BTCUSD"/>
    <n v="4077352"/>
    <x v="379"/>
    <n v="3350000"/>
    <n v="3696352"/>
    <n v="749123"/>
    <s v="May"/>
    <x v="1"/>
  </r>
  <r>
    <x v="225"/>
    <s v="May"/>
    <s v="SP500"/>
    <n v="412197"/>
    <x v="380"/>
    <n v="412197"/>
    <n v="415912"/>
    <n v="301906000000"/>
    <s v="May"/>
    <x v="0"/>
  </r>
  <r>
    <x v="225"/>
    <s v="May"/>
    <s v="BTCUSD"/>
    <n v="3841114"/>
    <x v="381"/>
    <n v="3820000"/>
    <n v="4077352"/>
    <n v="498139"/>
    <s v="May"/>
    <x v="1"/>
  </r>
  <r>
    <x v="226"/>
    <s v="May"/>
    <s v="SP500"/>
    <n v="409845"/>
    <x v="382"/>
    <n v="406141"/>
    <n v="411568"/>
    <n v="348555000000"/>
    <s v="May"/>
    <x v="0"/>
  </r>
  <r>
    <x v="226"/>
    <s v="May"/>
    <s v="BTCUSD"/>
    <n v="4057098"/>
    <x v="383"/>
    <n v="2870000"/>
    <n v="3841114"/>
    <n v="1800098"/>
    <s v="May"/>
    <x v="1"/>
  </r>
  <r>
    <x v="227"/>
    <s v="May"/>
    <s v="SP500"/>
    <n v="416594"/>
    <x v="384"/>
    <n v="412599"/>
    <n v="412783"/>
    <n v="355979000000"/>
    <s v="May"/>
    <x v="0"/>
  </r>
  <r>
    <x v="227"/>
    <s v="May"/>
    <s v="BTCUSD"/>
    <n v="4482475"/>
    <x v="385"/>
    <n v="4011800"/>
    <n v="4057098"/>
    <n v="477804"/>
    <s v="May"/>
    <x v="1"/>
  </r>
  <r>
    <x v="228"/>
    <s v="May"/>
    <s v="SP500"/>
    <n v="416992"/>
    <x v="386"/>
    <n v="414269"/>
    <n v="416329"/>
    <n v="330713000000"/>
    <s v="May"/>
    <x v="0"/>
  </r>
  <r>
    <x v="228"/>
    <s v="May"/>
    <s v="BTCUSD"/>
    <n v="4290209"/>
    <x v="387"/>
    <n v="4208000"/>
    <n v="4482475"/>
    <n v="576437"/>
    <s v="May"/>
    <x v="1"/>
  </r>
  <r>
    <x v="229"/>
    <s v="May"/>
    <s v="BTCUSD"/>
    <n v="4838360"/>
    <x v="388"/>
    <n v="4279300"/>
    <n v="4290209"/>
    <n v="393704"/>
    <s v="May"/>
    <x v="1"/>
  </r>
  <r>
    <x v="230"/>
    <s v="May"/>
    <s v="BTCUSD"/>
    <n v="4967085"/>
    <x v="389"/>
    <n v="4650000"/>
    <n v="4838360"/>
    <n v="193826"/>
    <s v="May"/>
    <x v="1"/>
  </r>
  <r>
    <x v="231"/>
    <s v="May"/>
    <s v="SP500"/>
    <n v="412958"/>
    <x v="390"/>
    <n v="412958"/>
    <n v="417385"/>
    <n v="325192000000"/>
    <s v="May"/>
    <x v="0"/>
  </r>
  <r>
    <x v="231"/>
    <s v="May"/>
    <s v="BTCUSD"/>
    <n v="4922107"/>
    <x v="391"/>
    <n v="4889479"/>
    <n v="4967085"/>
    <n v="200131"/>
    <s v="May"/>
    <x v="1"/>
  </r>
  <r>
    <x v="232"/>
    <s v="May"/>
    <s v="SP500"/>
    <n v="407499"/>
    <x v="392"/>
    <n v="407499"/>
    <n v="411250"/>
    <n v="368778000000"/>
    <s v="May"/>
    <x v="0"/>
  </r>
  <r>
    <x v="232"/>
    <s v="May"/>
    <s v="BTCUSD"/>
    <n v="5049311"/>
    <x v="393"/>
    <n v="4696239"/>
    <n v="4922107"/>
    <n v="425047"/>
    <s v="May"/>
    <x v="1"/>
  </r>
  <r>
    <x v="233"/>
    <s v="May"/>
    <s v="SP500"/>
    <n v="413055"/>
    <x v="394"/>
    <n v="405688"/>
    <n v="406304"/>
    <n v="373508000000"/>
    <s v="May"/>
    <x v="0"/>
  </r>
  <r>
    <x v="233"/>
    <s v="May"/>
    <s v="BTCUSD"/>
    <n v="5782000"/>
    <x v="395"/>
    <n v="4500000"/>
    <n v="5049311"/>
    <n v="643829"/>
    <s v="May"/>
    <x v="1"/>
  </r>
  <r>
    <x v="234"/>
    <s v="May"/>
    <s v="SP500"/>
    <n v="415034"/>
    <x v="396"/>
    <n v="411153"/>
    <n v="415210"/>
    <n v="359311000000"/>
    <s v="May"/>
    <x v="0"/>
  </r>
  <r>
    <x v="234"/>
    <s v="May"/>
    <s v="BTCUSD"/>
    <n v="5519475"/>
    <x v="397"/>
    <n v="5468400"/>
    <n v="5782000"/>
    <n v="143256"/>
    <s v="May"/>
    <x v="1"/>
  </r>
  <r>
    <x v="235"/>
    <s v="May"/>
    <s v="SP500"/>
    <n v="422829"/>
    <x v="398"/>
    <n v="418813"/>
    <n v="418843"/>
    <n v="367897000000"/>
    <s v="May"/>
    <x v="0"/>
  </r>
  <r>
    <x v="235"/>
    <s v="May"/>
    <s v="BTCUSD"/>
    <n v="5940778"/>
    <x v="399"/>
    <n v="5343431"/>
    <n v="5519475"/>
    <n v="258342"/>
    <s v="May"/>
    <x v="1"/>
  </r>
  <r>
    <x v="236"/>
    <s v="May"/>
    <s v="BTCUSD"/>
    <n v="5854516"/>
    <x v="400"/>
    <n v="5627513"/>
    <n v="5940778"/>
    <n v="171038"/>
    <s v="May"/>
    <x v="1"/>
  </r>
  <r>
    <x v="237"/>
    <s v="May"/>
    <s v="BTCUSD"/>
    <n v="5818776"/>
    <x v="401"/>
    <n v="5758309"/>
    <n v="5854516"/>
    <n v="169208"/>
    <s v="May"/>
    <x v="1"/>
  </r>
  <r>
    <x v="238"/>
    <s v="May"/>
    <s v="SP500"/>
    <n v="421034"/>
    <x v="402"/>
    <n v="420164"/>
    <n v="423260"/>
    <n v="401306000000"/>
    <s v="May"/>
    <x v="0"/>
  </r>
  <r>
    <x v="238"/>
    <s v="May"/>
    <s v="BTCUSD"/>
    <n v="5576228"/>
    <x v="403"/>
    <n v="5529222"/>
    <n v="5818776"/>
    <n v="159120"/>
    <s v="May"/>
    <x v="1"/>
  </r>
  <r>
    <x v="239"/>
    <s v="May"/>
    <s v="SP500"/>
    <n v="416914"/>
    <x v="404"/>
    <n v="414733"/>
    <n v="420162"/>
    <n v="450486000000"/>
    <s v="May"/>
    <x v="0"/>
  </r>
  <r>
    <x v="239"/>
    <s v="May"/>
    <s v="BTCUSD"/>
    <n v="5690044"/>
    <x v="405"/>
    <n v="5520000"/>
    <n v="5576228"/>
    <n v="149490"/>
    <s v="May"/>
    <x v="1"/>
  </r>
  <r>
    <x v="240"/>
    <s v="May"/>
    <s v="SP500"/>
    <n v="417706"/>
    <x v="406"/>
    <n v="416094"/>
    <n v="416759"/>
    <n v="402905000000"/>
    <s v="May"/>
    <x v="0"/>
  </r>
  <r>
    <x v="240"/>
    <s v="May"/>
    <s v="BTCUSD"/>
    <n v="5483220"/>
    <x v="407"/>
    <n v="5315868"/>
    <n v="5690044"/>
    <n v="243066"/>
    <s v="May"/>
    <x v="1"/>
  </r>
  <r>
    <x v="241"/>
    <s v="May"/>
    <s v="SP500"/>
    <n v="417904"/>
    <x v="408"/>
    <n v="412859"/>
    <n v="416466"/>
    <n v="444108000000"/>
    <s v="May"/>
    <x v="0"/>
  </r>
  <r>
    <x v="241"/>
    <s v="May"/>
    <s v="BTCUSD"/>
    <n v="5551137"/>
    <x v="409"/>
    <n v="5294709"/>
    <n v="5483220"/>
    <n v="288008"/>
    <s v="May"/>
    <x v="1"/>
  </r>
  <r>
    <x v="242"/>
    <s v="May"/>
    <s v="SP500"/>
    <n v="419198"/>
    <x v="410"/>
    <n v="418803"/>
    <n v="419266"/>
    <n v="406117000000"/>
    <s v="May"/>
    <x v="0"/>
  </r>
  <r>
    <x v="242"/>
    <s v="May"/>
    <s v="BTCUSD"/>
    <n v="5797074"/>
    <x v="411"/>
    <n v="5465465"/>
    <n v="5551137"/>
    <n v="236315"/>
    <s v="May"/>
    <x v="1"/>
  </r>
  <r>
    <x v="243"/>
    <s v="May"/>
    <s v="BTCUSD"/>
    <n v="5654740"/>
    <x v="412"/>
    <n v="5610440"/>
    <n v="5797074"/>
    <n v="65363"/>
    <s v="May"/>
    <x v="1"/>
  </r>
  <r>
    <x v="244"/>
    <s v="April"/>
    <s v="SP500"/>
    <n v="419810"/>
    <x v="413"/>
    <n v="417485"/>
    <n v="418117"/>
    <n v="427368000000"/>
    <s v="April"/>
    <x v="0"/>
  </r>
  <r>
    <x v="244"/>
    <s v="Apr"/>
    <s v="BTCUSD"/>
    <n v="5375001"/>
    <x v="414"/>
    <n v="5375001"/>
    <n v="5827225"/>
    <n v="186951"/>
    <s v="Apr"/>
    <x v="1"/>
  </r>
  <r>
    <x v="245"/>
    <s v="April"/>
    <s v="SP500"/>
    <n v="420614"/>
    <x v="415"/>
    <n v="417681"/>
    <n v="421147"/>
    <n v="428894000000"/>
    <s v="April"/>
    <x v="0"/>
  </r>
  <r>
    <x v="245"/>
    <s v="Apr"/>
    <s v="BTCUSD"/>
    <n v="5431241"/>
    <x v="416"/>
    <n v="5238942"/>
    <n v="5375001"/>
    <n v="156101"/>
    <s v="Apr"/>
    <x v="1"/>
  </r>
  <r>
    <x v="246"/>
    <s v="April"/>
    <s v="SP500"/>
    <n v="418514"/>
    <x v="417"/>
    <n v="418178"/>
    <n v="418318"/>
    <n v="377239000000"/>
    <s v="April"/>
    <x v="0"/>
  </r>
  <r>
    <x v="246"/>
    <s v="Apr"/>
    <s v="BTCUSD"/>
    <n v="5488325"/>
    <x v="418"/>
    <n v="5386112"/>
    <n v="5431241"/>
    <n v="162845"/>
    <s v="Apr"/>
    <x v="1"/>
  </r>
  <r>
    <x v="247"/>
    <s v="April"/>
    <s v="SP500"/>
    <n v="418825"/>
    <x v="419"/>
    <n v="417622"/>
    <n v="418672"/>
    <n v="370324000000"/>
    <s v="April"/>
    <x v="0"/>
  </r>
  <r>
    <x v="247"/>
    <s v="Apr"/>
    <s v="BTCUSD"/>
    <n v="5353194"/>
    <x v="147"/>
    <n v="5334562"/>
    <n v="5488325"/>
    <n v="150858"/>
    <s v="Apr"/>
    <x v="1"/>
  </r>
  <r>
    <x v="248"/>
    <s v="April"/>
    <s v="SP500"/>
    <n v="418503"/>
    <x v="420"/>
    <n v="418236"/>
    <n v="418762"/>
    <n v="373892000000"/>
    <s v="April"/>
    <x v="0"/>
  </r>
  <r>
    <x v="248"/>
    <s v="Apr"/>
    <s v="BTCUSD"/>
    <n v="5243590"/>
    <x v="421"/>
    <n v="5209687"/>
    <n v="5353194"/>
    <n v="180488"/>
    <s v="Apr"/>
    <x v="1"/>
  </r>
  <r>
    <x v="249"/>
    <s v="Apr"/>
    <s v="BTCUSD"/>
    <n v="4972197"/>
    <x v="422"/>
    <n v="4700000"/>
    <n v="5243590"/>
    <n v="266293"/>
    <s v="Apr"/>
    <x v="1"/>
  </r>
  <r>
    <x v="250"/>
    <s v="Apr"/>
    <s v="BTCUSD"/>
    <n v="5019542"/>
    <x v="423"/>
    <n v="4875501"/>
    <n v="4972197"/>
    <n v="94326"/>
    <s v="Apr"/>
    <x v="1"/>
  </r>
  <r>
    <x v="251"/>
    <s v="April"/>
    <s v="SP500"/>
    <n v="413878"/>
    <x v="424"/>
    <n v="413878"/>
    <n v="418017"/>
    <n v="356808000000"/>
    <s v="April"/>
    <x v="0"/>
  </r>
  <r>
    <x v="251"/>
    <s v="Apr"/>
    <s v="BTCUSD"/>
    <n v="5032966"/>
    <x v="425"/>
    <n v="4723100"/>
    <n v="5019542"/>
    <n v="325051"/>
    <s v="Apr"/>
    <x v="1"/>
  </r>
  <r>
    <x v="252"/>
    <s v="April"/>
    <s v="SP500"/>
    <n v="417046"/>
    <x v="426"/>
    <n v="412369"/>
    <n v="413498"/>
    <n v="423504000000"/>
    <s v="April"/>
    <x v="0"/>
  </r>
  <r>
    <x v="252"/>
    <s v="Apr"/>
    <s v="BTCUSD"/>
    <n v="5350808"/>
    <x v="427"/>
    <n v="4856558"/>
    <n v="5032966"/>
    <n v="441570"/>
    <s v="Apr"/>
    <x v="1"/>
  </r>
  <r>
    <x v="253"/>
    <s v="April"/>
    <s v="SP500"/>
    <n v="412842"/>
    <x v="428"/>
    <n v="412635"/>
    <n v="417342"/>
    <n v="386582000000"/>
    <s v="April"/>
    <x v="0"/>
  </r>
  <r>
    <x v="253"/>
    <s v="Apr"/>
    <s v="BTCUSD"/>
    <n v="5525557"/>
    <x v="429"/>
    <n v="5260000"/>
    <n v="5350808"/>
    <n v="224311"/>
    <s v="Apr"/>
    <x v="1"/>
  </r>
  <r>
    <x v="254"/>
    <s v="April"/>
    <s v="SP500"/>
    <n v="415918"/>
    <x v="430"/>
    <n v="411838"/>
    <n v="413494"/>
    <n v="433823000000"/>
    <s v="April"/>
    <x v="0"/>
  </r>
  <r>
    <x v="254"/>
    <s v="Apr"/>
    <s v="BTCUSD"/>
    <n v="5458665"/>
    <x v="431"/>
    <n v="5341676"/>
    <n v="5525557"/>
    <n v="235391"/>
    <s v="Apr"/>
    <x v="1"/>
  </r>
  <r>
    <x v="255"/>
    <s v="April"/>
    <s v="SP500"/>
    <n v="417980"/>
    <x v="432"/>
    <n v="415047"/>
    <n v="416326"/>
    <n v="378802000000"/>
    <s v="April"/>
    <x v="0"/>
  </r>
  <r>
    <x v="255"/>
    <s v="Apr"/>
    <s v="BTCUSD"/>
    <n v="5717561"/>
    <x v="433"/>
    <n v="5360641"/>
    <n v="5458665"/>
    <n v="283289"/>
    <s v="Apr"/>
    <x v="1"/>
  </r>
  <r>
    <x v="256"/>
    <s v="Apr"/>
    <s v="BTCUSD"/>
    <n v="5599297"/>
    <x v="434"/>
    <n v="5317636"/>
    <n v="5717561"/>
    <n v="372030"/>
    <s v="Apr"/>
    <x v="1"/>
  </r>
  <r>
    <x v="257"/>
    <s v="Apr"/>
    <s v="BTCUSD"/>
    <n v="6245000"/>
    <x v="435"/>
    <n v="5062232"/>
    <n v="5599297"/>
    <n v="258609"/>
    <s v="Apr"/>
    <x v="1"/>
  </r>
  <r>
    <x v="258"/>
    <s v="April"/>
    <s v="SP500"/>
    <n v="417414"/>
    <x v="436"/>
    <n v="417075"/>
    <n v="418547"/>
    <n v="415743000000"/>
    <s v="April"/>
    <x v="0"/>
  </r>
  <r>
    <x v="258"/>
    <s v="Apr"/>
    <s v="BTCUSD"/>
    <n v="6299868"/>
    <x v="437"/>
    <n v="6005514"/>
    <n v="6245000"/>
    <n v="231960"/>
    <s v="Apr"/>
    <x v="1"/>
  </r>
  <r>
    <x v="259"/>
    <s v="April"/>
    <s v="SP500"/>
    <n v="413976"/>
    <x v="438"/>
    <n v="413976"/>
    <n v="417042"/>
    <n v="402768000000"/>
    <s v="April"/>
    <x v="0"/>
  </r>
  <r>
    <x v="259"/>
    <s v="Apr"/>
    <s v="BTCUSD"/>
    <n v="6306372"/>
    <x v="439"/>
    <n v="6204500"/>
    <n v="6299868"/>
    <n v="132855"/>
    <s v="Apr"/>
    <x v="1"/>
  </r>
  <r>
    <x v="260"/>
    <s v="April"/>
    <s v="SP500"/>
    <n v="414158"/>
    <x v="440"/>
    <n v="412087"/>
    <n v="412466"/>
    <n v="397654000000"/>
    <s v="April"/>
    <x v="0"/>
  </r>
  <r>
    <x v="260"/>
    <s v="Apr"/>
    <s v="BTCUSD"/>
    <n v="6377318"/>
    <x v="441"/>
    <n v="6130397"/>
    <n v="6306372"/>
    <n v="292203"/>
    <s v="Apr"/>
    <x v="1"/>
  </r>
  <r>
    <x v="261"/>
    <s v="April"/>
    <s v="SP500"/>
    <n v="413010"/>
    <x v="442"/>
    <n v="412443"/>
    <n v="414159"/>
    <n v="372844000000"/>
    <s v="April"/>
    <x v="0"/>
  </r>
  <r>
    <x v="261"/>
    <s v="Apr"/>
    <s v="BTCUSD"/>
    <n v="6041591"/>
    <x v="443"/>
    <n v="6032112"/>
    <n v="6377318"/>
    <n v="209143"/>
    <s v="Apr"/>
    <x v="1"/>
  </r>
  <r>
    <x v="262"/>
    <s v="April"/>
    <s v="SP500"/>
    <n v="412471"/>
    <x v="444"/>
    <n v="411482"/>
    <n v="412799"/>
    <n v="357850000000"/>
    <s v="April"/>
    <x v="0"/>
  </r>
  <r>
    <x v="262"/>
    <s v="Apr"/>
    <s v="BTCUSD"/>
    <n v="6032566"/>
    <x v="445"/>
    <n v="5940001"/>
    <n v="6041591"/>
    <n v="134329"/>
    <s v="Apr"/>
    <x v="1"/>
  </r>
  <r>
    <x v="263"/>
    <s v="Apr"/>
    <s v="BTCUSD"/>
    <n v="6024083"/>
    <x v="446"/>
    <n v="5920000"/>
    <n v="6032566"/>
    <n v="64447"/>
    <s v="Apr"/>
    <x v="1"/>
  </r>
  <r>
    <x v="264"/>
    <s v="Apr"/>
    <s v="BTCUSD"/>
    <n v="5916000"/>
    <x v="447"/>
    <n v="5831633"/>
    <n v="6024083"/>
    <n v="134477"/>
    <s v="Apr"/>
    <x v="1"/>
  </r>
  <r>
    <x v="265"/>
    <s v="April"/>
    <s v="SP500"/>
    <n v="409611"/>
    <x v="448"/>
    <n v="409551"/>
    <n v="412880"/>
    <n v="363491000000"/>
    <s v="April"/>
    <x v="0"/>
  </r>
  <r>
    <x v="265"/>
    <s v="Apr"/>
    <s v="BTCUSD"/>
    <n v="5801419"/>
    <x v="449"/>
    <n v="5768972"/>
    <n v="5916000"/>
    <n v="93034"/>
    <s v="Apr"/>
    <x v="1"/>
  </r>
  <r>
    <x v="266"/>
    <s v="April"/>
    <s v="SP500"/>
    <n v="408995"/>
    <x v="450"/>
    <n v="408254"/>
    <n v="409717"/>
    <n v="390191000000"/>
    <s v="April"/>
    <x v="0"/>
  </r>
  <r>
    <x v="266"/>
    <s v="Apr"/>
    <s v="BTCUSD"/>
    <n v="5655959"/>
    <x v="451"/>
    <n v="5637070"/>
    <n v="5801419"/>
    <n v="76292"/>
    <s v="Apr"/>
    <x v="1"/>
  </r>
  <r>
    <x v="267"/>
    <s v="April"/>
    <s v="SP500"/>
    <n v="407429"/>
    <x v="452"/>
    <n v="406831"/>
    <n v="407995"/>
    <n v="411264000000"/>
    <s v="April"/>
    <x v="0"/>
  </r>
  <r>
    <x v="267"/>
    <s v="Apr"/>
    <s v="BTCUSD"/>
    <n v="5793416"/>
    <x v="453"/>
    <n v="5545000"/>
    <n v="5655959"/>
    <n v="199491"/>
    <s v="Apr"/>
    <x v="1"/>
  </r>
  <r>
    <x v="268"/>
    <s v="April"/>
    <s v="SP500"/>
    <n v="407557"/>
    <x v="454"/>
    <n v="406814"/>
    <n v="407394"/>
    <n v="402788000000"/>
    <s v="April"/>
    <x v="0"/>
  </r>
  <r>
    <x v="268"/>
    <s v="Apr"/>
    <s v="BTCUSD"/>
    <n v="5863814"/>
    <x v="455"/>
    <n v="5725500"/>
    <n v="5793416"/>
    <n v="117372"/>
    <s v="Apr"/>
    <x v="1"/>
  </r>
  <r>
    <x v="269"/>
    <s v="April"/>
    <s v="SP500"/>
    <n v="403444"/>
    <x v="456"/>
    <n v="403444"/>
    <n v="407791"/>
    <n v="399976000000"/>
    <s v="April"/>
    <x v="0"/>
  </r>
  <r>
    <x v="269"/>
    <s v="Apr"/>
    <s v="BTCUSD"/>
    <n v="5747964"/>
    <x v="457"/>
    <n v="5681028"/>
    <n v="5863814"/>
    <n v="84518"/>
    <s v="Apr"/>
    <x v="1"/>
  </r>
  <r>
    <x v="270"/>
    <s v="Apr"/>
    <s v="BTCUSD"/>
    <n v="5755771"/>
    <x v="458"/>
    <n v="5704253"/>
    <n v="5747964"/>
    <n v="28830"/>
    <s v="Apr"/>
    <x v="1"/>
  </r>
  <r>
    <x v="271"/>
    <s v="Apr"/>
    <s v="BTCUSD"/>
    <n v="5925104"/>
    <x v="459"/>
    <n v="5650000"/>
    <n v="5755771"/>
    <n v="83445"/>
    <s v="Apr"/>
    <x v="1"/>
  </r>
  <r>
    <x v="272"/>
    <s v="Apr"/>
    <s v="BTCUSD"/>
    <n v="5980000"/>
    <x v="460"/>
    <n v="5848568"/>
    <n v="5925104"/>
    <n v="76064"/>
    <s v="Apr"/>
    <x v="1"/>
  </r>
  <r>
    <x v="273"/>
    <s v="April"/>
    <s v="SP500"/>
    <n v="399278"/>
    <x v="461"/>
    <n v="399278"/>
    <n v="401987"/>
    <n v="415124000000"/>
    <s v="April"/>
    <x v="0"/>
  </r>
  <r>
    <x v="273"/>
    <s v="Apr"/>
    <s v="BTCUSD"/>
    <n v="5914358"/>
    <x v="462"/>
    <n v="5794628"/>
    <n v="5980000"/>
    <n v="122100"/>
    <s v="Apr"/>
    <x v="1"/>
  </r>
  <r>
    <x v="274"/>
    <s v="March"/>
    <s v="SP500"/>
    <n v="396725"/>
    <x v="463"/>
    <n v="396698"/>
    <n v="397289"/>
    <n v="456498000000"/>
    <s v="March"/>
    <x v="0"/>
  </r>
  <r>
    <x v="274"/>
    <s v="Mar"/>
    <s v="BTCUSD"/>
    <n v="5862167"/>
    <x v="464"/>
    <n v="5688000"/>
    <n v="5914358"/>
    <n v="167955"/>
    <s v="Mar"/>
    <x v="1"/>
  </r>
  <r>
    <x v="275"/>
    <s v="March"/>
    <s v="SP500"/>
    <n v="396334"/>
    <x v="465"/>
    <n v="394435"/>
    <n v="395855"/>
    <n v="410357000000"/>
    <s v="March"/>
    <x v="0"/>
  </r>
  <r>
    <x v="275"/>
    <s v="Mar"/>
    <s v="BTCUSD"/>
    <n v="5715581"/>
    <x v="466"/>
    <n v="5702440"/>
    <n v="5862167"/>
    <n v="93397"/>
    <s v="Mar"/>
    <x v="1"/>
  </r>
  <r>
    <x v="276"/>
    <s v="March"/>
    <s v="SP500"/>
    <n v="396931"/>
    <x v="467"/>
    <n v="394325"/>
    <n v="397109"/>
    <n v="461984000000"/>
    <s v="March"/>
    <x v="0"/>
  </r>
  <r>
    <x v="276"/>
    <s v="Mar"/>
    <s v="BTCUSD"/>
    <n v="5535100"/>
    <x v="468"/>
    <n v="5488909"/>
    <n v="5715581"/>
    <n v="202026"/>
    <s v="Mar"/>
    <x v="1"/>
  </r>
  <r>
    <x v="277"/>
    <s v="Mar"/>
    <s v="BTCUSD"/>
    <n v="5609403"/>
    <x v="469"/>
    <n v="5471101"/>
    <n v="5535100"/>
    <n v="45344"/>
    <s v="Mar"/>
    <x v="1"/>
  </r>
  <r>
    <x v="278"/>
    <s v="Mar"/>
    <s v="BTCUSD"/>
    <n v="5480402"/>
    <x v="470"/>
    <n v="5399000"/>
    <n v="5609403"/>
    <n v="73037"/>
    <s v="Mar"/>
    <x v="1"/>
  </r>
  <r>
    <x v="279"/>
    <s v="March"/>
    <s v="SP500"/>
    <n v="391712"/>
    <x v="471"/>
    <n v="391712"/>
    <n v="397454"/>
    <n v="546785000000"/>
    <s v="March"/>
    <x v="0"/>
  </r>
  <r>
    <x v="279"/>
    <s v="Mar"/>
    <s v="BTCUSD"/>
    <n v="5245080"/>
    <x v="472"/>
    <n v="5220536"/>
    <n v="5480402"/>
    <n v="165531"/>
    <s v="Mar"/>
    <x v="1"/>
  </r>
  <r>
    <x v="280"/>
    <s v="March"/>
    <s v="SP500"/>
    <n v="387934"/>
    <x v="473"/>
    <n v="385350"/>
    <n v="390952"/>
    <n v="494080000000"/>
    <s v="March"/>
    <x v="0"/>
  </r>
  <r>
    <x v="280"/>
    <s v="Mar"/>
    <s v="BTCUSD"/>
    <n v="5215285"/>
    <x v="474"/>
    <n v="5038701"/>
    <n v="5245080"/>
    <n v="173699"/>
    <s v="Mar"/>
    <x v="1"/>
  </r>
  <r>
    <x v="281"/>
    <s v="March"/>
    <s v="SP500"/>
    <n v="391993"/>
    <x v="475"/>
    <n v="388907"/>
    <n v="388914"/>
    <n v="476699000000"/>
    <s v="March"/>
    <x v="0"/>
  </r>
  <r>
    <x v="281"/>
    <s v="Mar"/>
    <s v="BTCUSD"/>
    <n v="5437512"/>
    <x v="476"/>
    <n v="5153389"/>
    <n v="5215285"/>
    <n v="255602"/>
    <s v="Mar"/>
    <x v="1"/>
  </r>
  <r>
    <x v="282"/>
    <s v="March"/>
    <s v="SP500"/>
    <n v="393760"/>
    <x v="477"/>
    <n v="390157"/>
    <n v="391052"/>
    <n v="464534000000"/>
    <s v="March"/>
    <x v="0"/>
  </r>
  <r>
    <x v="282"/>
    <s v="Mar"/>
    <s v="BTCUSD"/>
    <n v="5471081"/>
    <x v="478"/>
    <n v="5300000"/>
    <n v="5437512"/>
    <n v="191614"/>
    <s v="Mar"/>
    <x v="1"/>
  </r>
  <r>
    <x v="283"/>
    <s v="March"/>
    <s v="SP500"/>
    <n v="391648"/>
    <x v="479"/>
    <n v="391416"/>
    <n v="394059"/>
    <n v="431138000000"/>
    <s v="March"/>
    <x v="0"/>
  </r>
  <r>
    <x v="283"/>
    <s v="Mar"/>
    <s v="BTCUSD"/>
    <n v="5755147"/>
    <x v="480"/>
    <n v="5373367"/>
    <n v="5471081"/>
    <n v="177120"/>
    <s v="Mar"/>
    <x v="1"/>
  </r>
  <r>
    <x v="284"/>
    <s v="Mar"/>
    <s v="BTCUSD"/>
    <n v="5783332"/>
    <x v="481"/>
    <n v="5550000"/>
    <n v="5755147"/>
    <n v="78135"/>
    <s v="Mar"/>
    <x v="1"/>
  </r>
  <r>
    <x v="285"/>
    <s v="Mar"/>
    <s v="BTCUSD"/>
    <n v="5842890"/>
    <x v="482"/>
    <n v="5746936"/>
    <n v="5783332"/>
    <n v="77422"/>
    <s v="Mar"/>
    <x v="1"/>
  </r>
  <r>
    <x v="286"/>
    <s v="March"/>
    <s v="SP500"/>
    <n v="391314"/>
    <x v="483"/>
    <n v="388675"/>
    <n v="391310"/>
    <n v="772505000000"/>
    <s v="March"/>
    <x v="0"/>
  </r>
  <r>
    <x v="286"/>
    <s v="Mar"/>
    <s v="BTCUSD"/>
    <n v="5779371"/>
    <x v="484"/>
    <n v="5750761"/>
    <n v="5842890"/>
    <n v="101417"/>
    <s v="Mar"/>
    <x v="1"/>
  </r>
  <r>
    <x v="287"/>
    <s v="March"/>
    <s v="SP500"/>
    <n v="395350"/>
    <x v="485"/>
    <n v="391086"/>
    <n v="391546"/>
    <n v="404317000000"/>
    <s v="March"/>
    <x v="0"/>
  </r>
  <r>
    <x v="287"/>
    <s v="Mar"/>
    <s v="BTCUSD"/>
    <n v="5868736"/>
    <x v="486"/>
    <n v="5623955"/>
    <n v="5779371"/>
    <n v="159438"/>
    <s v="Mar"/>
    <x v="1"/>
  </r>
  <r>
    <x v="288"/>
    <s v="March"/>
    <s v="SP500"/>
    <n v="394957"/>
    <x v="487"/>
    <n v="393574"/>
    <n v="397412"/>
    <n v="454162000000"/>
    <s v="March"/>
    <x v="0"/>
  </r>
  <r>
    <x v="288"/>
    <s v="Mar"/>
    <s v="BTCUSD"/>
    <n v="5554873"/>
    <x v="488"/>
    <n v="5414495"/>
    <n v="5868736"/>
    <n v="195094"/>
    <s v="Mar"/>
    <x v="1"/>
  </r>
  <r>
    <x v="289"/>
    <s v="March"/>
    <s v="SP500"/>
    <n v="397359"/>
    <x v="489"/>
    <n v="395344"/>
    <n v="396271"/>
    <n v="460487000000"/>
    <s v="March"/>
    <x v="0"/>
  </r>
  <r>
    <x v="289"/>
    <s v="Mar"/>
    <s v="BTCUSD"/>
    <n v="5425504"/>
    <x v="490"/>
    <n v="5358900"/>
    <n v="5554873"/>
    <n v="135097"/>
    <s v="Mar"/>
    <x v="1"/>
  </r>
  <r>
    <x v="290"/>
    <s v="March"/>
    <s v="SP500"/>
    <n v="394296"/>
    <x v="491"/>
    <n v="392354"/>
    <n v="396894"/>
    <n v="488219000000"/>
    <s v="March"/>
    <x v="0"/>
  </r>
  <r>
    <x v="290"/>
    <s v="Mar"/>
    <s v="BTCUSD"/>
    <n v="6036218"/>
    <x v="492"/>
    <n v="5323869"/>
    <n v="5425504"/>
    <n v="345309"/>
    <s v="Mar"/>
    <x v="1"/>
  </r>
  <r>
    <x v="291"/>
    <s v="Mar"/>
    <s v="BTCUSD"/>
    <n v="6135475"/>
    <x v="493"/>
    <n v="5875000"/>
    <n v="6036218"/>
    <n v="128615"/>
    <s v="Mar"/>
    <x v="1"/>
  </r>
  <r>
    <x v="292"/>
    <s v="Mar"/>
    <s v="BTCUSD"/>
    <n v="5670584"/>
    <x v="494"/>
    <n v="5628451"/>
    <n v="6135475"/>
    <n v="213531"/>
    <s v="Mar"/>
    <x v="1"/>
  </r>
  <r>
    <x v="293"/>
    <s v="March"/>
    <s v="SP500"/>
    <n v="392452"/>
    <x v="495"/>
    <n v="391521"/>
    <n v="394334"/>
    <n v="446924000000"/>
    <s v="March"/>
    <x v="0"/>
  </r>
  <r>
    <x v="293"/>
    <s v="Mar"/>
    <s v="BTCUSD"/>
    <n v="5711163"/>
    <x v="496"/>
    <n v="5505000"/>
    <n v="5670584"/>
    <n v="159558"/>
    <s v="Mar"/>
    <x v="1"/>
  </r>
  <r>
    <x v="294"/>
    <s v="March"/>
    <s v="SP500"/>
    <n v="391554"/>
    <x v="497"/>
    <n v="391554"/>
    <n v="393934"/>
    <n v="530001000000"/>
    <s v="March"/>
    <x v="0"/>
  </r>
  <r>
    <x v="294"/>
    <s v="Mar"/>
    <s v="BTCUSD"/>
    <n v="5597168"/>
    <x v="498"/>
    <n v="5428174"/>
    <n v="5711163"/>
    <n v="177609"/>
    <s v="Mar"/>
    <x v="1"/>
  </r>
  <r>
    <x v="295"/>
    <s v="March"/>
    <s v="SP500"/>
    <n v="389199"/>
    <x v="499"/>
    <n v="388573"/>
    <n v="389881"/>
    <n v="582725000000"/>
    <s v="March"/>
    <x v="0"/>
  </r>
  <r>
    <x v="295"/>
    <s v="Mar"/>
    <s v="BTCUSD"/>
    <n v="5346619"/>
    <x v="500"/>
    <n v="5304900"/>
    <n v="5597168"/>
    <n v="206229"/>
    <s v="Mar"/>
    <x v="1"/>
  </r>
  <r>
    <x v="296"/>
    <s v="March"/>
    <s v="SP500"/>
    <n v="385193"/>
    <x v="501"/>
    <n v="385193"/>
    <n v="387544"/>
    <n v="549634000000"/>
    <s v="March"/>
    <x v="0"/>
  </r>
  <r>
    <x v="296"/>
    <s v="Mar"/>
    <s v="BTCUSD"/>
    <n v="5393134"/>
    <x v="502"/>
    <n v="5314076"/>
    <n v="5346619"/>
    <n v="193315"/>
    <s v="Mar"/>
    <x v="1"/>
  </r>
  <r>
    <x v="297"/>
    <s v="March"/>
    <s v="SP500"/>
    <n v="384439"/>
    <x v="503"/>
    <n v="381925"/>
    <n v="382135"/>
    <n v="585224000000"/>
    <s v="March"/>
    <x v="0"/>
  </r>
  <r>
    <x v="297"/>
    <s v="Mar"/>
    <s v="BTCUSD"/>
    <n v="5059121"/>
    <x v="504"/>
    <n v="4930001"/>
    <n v="5393134"/>
    <n v="188072"/>
    <s v="Mar"/>
    <x v="1"/>
  </r>
  <r>
    <x v="298"/>
    <s v="Mar"/>
    <s v="BTCUSD"/>
    <n v="4961032"/>
    <x v="505"/>
    <n v="4913573"/>
    <n v="5059121"/>
    <n v="115704"/>
    <s v="Mar"/>
    <x v="1"/>
  </r>
  <r>
    <x v="299"/>
    <s v="Mar"/>
    <s v="BTCUSD"/>
    <n v="4864876"/>
    <x v="506"/>
    <n v="4709687"/>
    <n v="4961032"/>
    <n v="102729"/>
    <s v="Mar"/>
    <x v="1"/>
  </r>
  <r>
    <x v="300"/>
    <s v="March"/>
    <s v="SP500"/>
    <n v="379358"/>
    <x v="507"/>
    <n v="373019"/>
    <n v="384194"/>
    <n v="684257000000"/>
    <s v="March"/>
    <x v="0"/>
  </r>
  <r>
    <x v="300"/>
    <s v="Mar"/>
    <s v="BTCUSD"/>
    <n v="4733992"/>
    <x v="508"/>
    <n v="4644316"/>
    <n v="4864876"/>
    <n v="177493"/>
    <s v="Mar"/>
    <x v="1"/>
  </r>
  <r>
    <x v="301"/>
    <s v="March"/>
    <s v="SP500"/>
    <n v="381853"/>
    <x v="509"/>
    <n v="372334"/>
    <n v="376847"/>
    <n v="714224000000"/>
    <s v="March"/>
    <x v="0"/>
  </r>
  <r>
    <x v="301"/>
    <s v="Mar"/>
    <s v="BTCUSD"/>
    <n v="4959723"/>
    <x v="510"/>
    <n v="4629747"/>
    <n v="4733992"/>
    <n v="250735"/>
    <s v="Mar"/>
    <x v="1"/>
  </r>
  <r>
    <x v="302"/>
    <s v="March"/>
    <s v="SP500"/>
    <n v="386399"/>
    <x v="511"/>
    <n v="381886"/>
    <n v="381972"/>
    <n v="615079000000"/>
    <s v="March"/>
    <x v="0"/>
  </r>
  <r>
    <x v="302"/>
    <s v="Mar"/>
    <s v="BTCUSD"/>
    <n v="4874978"/>
    <x v="512"/>
    <n v="4869728"/>
    <n v="4959723"/>
    <n v="275627"/>
    <s v="Mar"/>
    <x v="1"/>
  </r>
  <r>
    <x v="303"/>
    <s v="March"/>
    <s v="SP500"/>
    <n v="390364"/>
    <x v="513"/>
    <n v="386857"/>
    <n v="387029"/>
    <n v="549369000000"/>
    <s v="March"/>
    <x v="0"/>
  </r>
  <r>
    <x v="303"/>
    <s v="Mar"/>
    <s v="BTCUSD"/>
    <n v="4902376"/>
    <x v="514"/>
    <n v="4707652"/>
    <n v="4874978"/>
    <n v="188771"/>
    <s v="Mar"/>
    <x v="1"/>
  </r>
  <r>
    <x v="304"/>
    <s v="March"/>
    <s v="SP500"/>
    <n v="384251"/>
    <x v="515"/>
    <n v="384251"/>
    <n v="390182"/>
    <n v="507154000000"/>
    <s v="March"/>
    <x v="0"/>
  </r>
  <r>
    <x v="305"/>
    <s v="Feb"/>
    <s v="BTCUSD"/>
    <n v="4467336"/>
    <x v="516"/>
    <n v="4303366"/>
    <n v="4640805"/>
    <n v="218854"/>
    <s v="Feb"/>
    <x v="1"/>
  </r>
  <r>
    <x v="306"/>
    <s v="Feb"/>
    <s v="BTCUSD"/>
    <n v="4744000"/>
    <x v="517"/>
    <n v="4451000"/>
    <n v="4467336"/>
    <n v="119106"/>
    <s v="Feb"/>
    <x v="1"/>
  </r>
  <r>
    <x v="307"/>
    <s v="February"/>
    <s v="SP500"/>
    <n v="383966"/>
    <x v="518"/>
    <n v="378954"/>
    <n v="381115"/>
    <n v="651295000000"/>
    <s v="February"/>
    <x v="0"/>
  </r>
  <r>
    <x v="307"/>
    <s v="Feb"/>
    <s v="BTCUSD"/>
    <n v="4736043"/>
    <x v="519"/>
    <n v="4412124"/>
    <n v="4744000"/>
    <n v="329757"/>
    <s v="Feb"/>
    <x v="1"/>
  </r>
  <r>
    <x v="308"/>
    <s v="February"/>
    <s v="SP500"/>
    <n v="391580"/>
    <x v="520"/>
    <n v="381404"/>
    <n v="382934"/>
    <n v="651306000000"/>
    <s v="February"/>
    <x v="0"/>
  </r>
  <r>
    <x v="308"/>
    <s v="Feb"/>
    <s v="BTCUSD"/>
    <n v="5026689"/>
    <x v="521"/>
    <n v="4600000"/>
    <n v="4736043"/>
    <n v="390071"/>
    <s v="Feb"/>
    <x v="1"/>
  </r>
  <r>
    <x v="309"/>
    <s v="February"/>
    <s v="SP500"/>
    <n v="387371"/>
    <x v="522"/>
    <n v="385960"/>
    <n v="392543"/>
    <n v="594235000000"/>
    <s v="February"/>
    <x v="0"/>
  </r>
  <r>
    <x v="309"/>
    <s v="Feb"/>
    <s v="BTCUSD"/>
    <n v="5096574"/>
    <x v="523"/>
    <n v="4811383"/>
    <n v="5026689"/>
    <n v="279846"/>
    <s v="Feb"/>
    <x v="1"/>
  </r>
  <r>
    <x v="310"/>
    <s v="February"/>
    <s v="SP500"/>
    <n v="385707"/>
    <x v="524"/>
    <n v="380559"/>
    <n v="388137"/>
    <n v="628065000000"/>
    <s v="February"/>
    <x v="0"/>
  </r>
  <r>
    <x v="310"/>
    <s v="Feb"/>
    <s v="BTCUSD"/>
    <n v="5184725"/>
    <x v="525"/>
    <n v="4424800"/>
    <n v="5096574"/>
    <n v="664190"/>
    <s v="Feb"/>
    <x v="1"/>
  </r>
  <r>
    <x v="311"/>
    <s v="February"/>
    <s v="SP500"/>
    <n v="388555"/>
    <x v="526"/>
    <n v="387471"/>
    <n v="387650"/>
    <n v="587019000000"/>
    <s v="February"/>
    <x v="0"/>
  </r>
  <r>
    <x v="311"/>
    <s v="Feb"/>
    <s v="BTCUSD"/>
    <n v="5591443"/>
    <x v="527"/>
    <n v="4700000"/>
    <n v="5184725"/>
    <n v="537131"/>
    <s v="Feb"/>
    <x v="1"/>
  </r>
  <r>
    <x v="312"/>
    <s v="Feb"/>
    <s v="BTCUSD"/>
    <n v="5654120"/>
    <x v="528"/>
    <n v="5580000"/>
    <n v="5591443"/>
    <n v="145490"/>
    <s v="Feb"/>
    <x v="1"/>
  </r>
  <r>
    <x v="313"/>
    <s v="Feb"/>
    <s v="BTCUSD"/>
    <n v="5576110"/>
    <x v="529"/>
    <n v="5400000"/>
    <n v="5654120"/>
    <n v="134919"/>
    <s v="Feb"/>
    <x v="1"/>
  </r>
  <r>
    <x v="314"/>
    <s v="February"/>
    <s v="SP500"/>
    <n v="392116"/>
    <x v="530"/>
    <n v="390307"/>
    <n v="390671"/>
    <n v="482394000000"/>
    <s v="February"/>
    <x v="0"/>
  </r>
  <r>
    <x v="314"/>
    <s v="Feb"/>
    <s v="BTCUSD"/>
    <n v="5124123"/>
    <x v="531"/>
    <n v="5090600"/>
    <n v="5576110"/>
    <n v="314393"/>
    <s v="Feb"/>
    <x v="1"/>
  </r>
  <r>
    <x v="315"/>
    <s v="February"/>
    <s v="SP500"/>
    <n v="391586"/>
    <x v="532"/>
    <n v="388503"/>
    <n v="391397"/>
    <n v="477343000000"/>
    <s v="February"/>
    <x v="0"/>
  </r>
  <r>
    <x v="315"/>
    <s v="Feb"/>
    <s v="BTCUSD"/>
    <n v="5206801"/>
    <x v="533"/>
    <n v="5050000"/>
    <n v="5124123"/>
    <n v="200260"/>
    <s v="Feb"/>
    <x v="1"/>
  </r>
  <r>
    <x v="316"/>
    <s v="February"/>
    <s v="SP500"/>
    <n v="391850"/>
    <x v="534"/>
    <n v="390043"/>
    <n v="393133"/>
    <n v="471828000000"/>
    <s v="February"/>
    <x v="0"/>
  </r>
  <r>
    <x v="316"/>
    <s v="Feb"/>
    <s v="BTCUSD"/>
    <n v="4964993"/>
    <x v="535"/>
    <n v="4916423"/>
    <n v="5206801"/>
    <n v="285820"/>
    <s v="Feb"/>
    <x v="1"/>
  </r>
  <r>
    <x v="317"/>
    <s v="February"/>
    <s v="SP500"/>
    <n v="393961"/>
    <x v="536"/>
    <n v="392385"/>
    <n v="393259"/>
    <n v="503736000000"/>
    <s v="February"/>
    <x v="0"/>
  </r>
  <r>
    <x v="317"/>
    <s v="Feb"/>
    <s v="BTCUSD"/>
    <n v="4958720"/>
    <x v="537"/>
    <n v="4781886"/>
    <n v="4964993"/>
    <n v="277627"/>
    <s v="Feb"/>
    <x v="1"/>
  </r>
  <r>
    <x v="318"/>
    <s v="Feb"/>
    <s v="BTCUSD"/>
    <n v="4718529"/>
    <x v="538"/>
    <n v="4633468"/>
    <n v="4958720"/>
    <n v="173603"/>
    <s v="Feb"/>
    <x v="1"/>
  </r>
  <r>
    <x v="319"/>
    <s v="Feb"/>
    <s v="BTCUSD"/>
    <n v="4738180"/>
    <x v="539"/>
    <n v="4583001"/>
    <n v="4718529"/>
    <n v="217490"/>
    <s v="Feb"/>
    <x v="1"/>
  </r>
  <r>
    <x v="320"/>
    <s v="Feb"/>
    <s v="BTCUSD"/>
    <n v="4793887"/>
    <x v="540"/>
    <n v="4629025"/>
    <n v="4738180"/>
    <n v="125244"/>
    <s v="Feb"/>
    <x v="1"/>
  </r>
  <r>
    <x v="321"/>
    <s v="February"/>
    <s v="SP500"/>
    <n v="391165"/>
    <x v="541"/>
    <n v="390578"/>
    <n v="393483"/>
    <n v="411926000000"/>
    <s v="February"/>
    <x v="0"/>
  </r>
  <r>
    <x v="321"/>
    <s v="Feb"/>
    <s v="BTCUSD"/>
    <n v="4762429"/>
    <x v="542"/>
    <n v="4628993"/>
    <n v="4793887"/>
    <n v="241387"/>
    <s v="Feb"/>
    <x v="1"/>
  </r>
  <r>
    <x v="322"/>
    <s v="February"/>
    <s v="SP500"/>
    <n v="391640"/>
    <x v="543"/>
    <n v="389039"/>
    <n v="391638"/>
    <n v="457008000000"/>
    <s v="February"/>
    <x v="0"/>
  </r>
  <r>
    <x v="322"/>
    <s v="Feb"/>
    <s v="BTCUSD"/>
    <n v="4551394"/>
    <x v="544"/>
    <n v="4445755"/>
    <n v="4762429"/>
    <n v="258900"/>
    <s v="Feb"/>
    <x v="1"/>
  </r>
  <r>
    <x v="323"/>
    <s v="February"/>
    <s v="SP500"/>
    <n v="392078"/>
    <x v="545"/>
    <n v="388494"/>
    <n v="390988"/>
    <n v="481538000000"/>
    <s v="February"/>
    <x v="0"/>
  </r>
  <r>
    <x v="323"/>
    <s v="Feb"/>
    <s v="BTCUSD"/>
    <n v="4630988"/>
    <x v="546"/>
    <n v="4376299"/>
    <n v="4551394"/>
    <n v="247969"/>
    <s v="Feb"/>
    <x v="1"/>
  </r>
  <r>
    <x v="324"/>
    <s v="February"/>
    <s v="SP500"/>
    <n v="391049"/>
    <x v="547"/>
    <n v="390264"/>
    <n v="391123"/>
    <n v="455461000000"/>
    <s v="February"/>
    <x v="0"/>
  </r>
  <r>
    <x v="324"/>
    <s v="Feb"/>
    <s v="BTCUSD"/>
    <n v="4665350"/>
    <x v="548"/>
    <n v="4503780"/>
    <n v="4630988"/>
    <n v="299216"/>
    <s v="Feb"/>
    <x v="1"/>
  </r>
  <r>
    <x v="325"/>
    <s v="February"/>
    <s v="SP500"/>
    <n v="389259"/>
    <x v="549"/>
    <n v="389259"/>
    <n v="391559"/>
    <n v="463503000000"/>
    <s v="February"/>
    <x v="0"/>
  </r>
  <r>
    <x v="325"/>
    <s v="Feb"/>
    <s v="BTCUSD"/>
    <n v="3810734"/>
    <x v="550"/>
    <n v="3806068"/>
    <n v="4665350"/>
    <n v="594437"/>
    <s v="Feb"/>
    <x v="1"/>
  </r>
  <r>
    <x v="326"/>
    <s v="Feb"/>
    <s v="BTCUSD"/>
    <n v="3889795"/>
    <x v="551"/>
    <n v="3740000"/>
    <n v="3810734"/>
    <n v="123987"/>
    <s v="Feb"/>
    <x v="1"/>
  </r>
  <r>
    <x v="327"/>
    <s v="Feb"/>
    <s v="BTCUSD"/>
    <n v="3941576"/>
    <x v="552"/>
    <n v="3836869"/>
    <n v="3889795"/>
    <n v="200211"/>
    <s v="Feb"/>
    <x v="1"/>
  </r>
  <r>
    <x v="328"/>
    <s v="February"/>
    <s v="SP500"/>
    <n v="387830"/>
    <x v="553"/>
    <n v="387493"/>
    <n v="388683"/>
    <n v="483858000000"/>
    <s v="February"/>
    <x v="0"/>
  </r>
  <r>
    <x v="328"/>
    <s v="Feb"/>
    <s v="BTCUSD"/>
    <n v="3738018"/>
    <x v="554"/>
    <n v="3705778"/>
    <n v="3941576"/>
    <n v="203278"/>
    <s v="Feb"/>
    <x v="1"/>
  </r>
  <r>
    <x v="329"/>
    <s v="February"/>
    <s v="SP500"/>
    <n v="383666"/>
    <x v="555"/>
    <n v="383666"/>
    <n v="387174"/>
    <n v="485667000000"/>
    <s v="February"/>
    <x v="0"/>
  </r>
  <r>
    <x v="329"/>
    <s v="Feb"/>
    <s v="BTCUSD"/>
    <n v="3755156"/>
    <x v="556"/>
    <n v="3621108"/>
    <n v="3738018"/>
    <n v="263709"/>
    <s v="Feb"/>
    <x v="1"/>
  </r>
  <r>
    <x v="330"/>
    <s v="February"/>
    <s v="SP500"/>
    <n v="384027"/>
    <x v="557"/>
    <n v="381668"/>
    <n v="383017"/>
    <n v="484690000000"/>
    <s v="February"/>
    <x v="0"/>
  </r>
  <r>
    <x v="330"/>
    <s v="Feb"/>
    <s v="BTCUSD"/>
    <n v="3646728"/>
    <x v="558"/>
    <n v="3558318"/>
    <n v="3755156"/>
    <n v="255971"/>
    <s v="Feb"/>
    <x v="1"/>
  </r>
  <r>
    <x v="331"/>
    <s v="February"/>
    <s v="SP500"/>
    <n v="379184"/>
    <x v="559"/>
    <n v="379184"/>
    <n v="382631"/>
    <n v="549537000000"/>
    <s v="February"/>
    <x v="0"/>
  </r>
  <r>
    <x v="331"/>
    <s v="Feb"/>
    <s v="BTCUSD"/>
    <n v="3358989"/>
    <x v="560"/>
    <n v="3353561"/>
    <n v="3646728"/>
    <n v="232835"/>
    <s v="Feb"/>
    <x v="1"/>
  </r>
  <r>
    <x v="332"/>
    <s v="February"/>
    <s v="SP500"/>
    <n v="373117"/>
    <x v="561"/>
    <n v="372562"/>
    <n v="377386"/>
    <n v="539287000000"/>
    <s v="February"/>
    <x v="0"/>
  </r>
  <r>
    <x v="332"/>
    <s v="Feb"/>
    <s v="BTCUSD"/>
    <n v="3360878"/>
    <x v="562"/>
    <n v="3310609"/>
    <n v="3358989"/>
    <n v="213459"/>
    <s v="Feb"/>
    <x v="1"/>
  </r>
  <r>
    <x v="333"/>
    <s v="Jan"/>
    <s v="BTCUSD"/>
    <n v="3394979"/>
    <x v="563"/>
    <n v="3220000"/>
    <n v="3360878"/>
    <n v="115346"/>
    <s v="Jan"/>
    <x v="1"/>
  </r>
  <r>
    <x v="334"/>
    <s v="Jan"/>
    <s v="BTCUSD"/>
    <n v="3328913"/>
    <x v="564"/>
    <n v="3315317"/>
    <n v="3394979"/>
    <n v="137903"/>
    <s v="Jan"/>
    <x v="1"/>
  </r>
  <r>
    <x v="335"/>
    <s v="January"/>
    <s v="SP500"/>
    <n v="377805"/>
    <x v="565"/>
    <n v="369412"/>
    <n v="371424"/>
    <n v="661257000000"/>
    <s v="January"/>
    <x v="0"/>
  </r>
  <r>
    <x v="335"/>
    <s v="Jan"/>
    <s v="BTCUSD"/>
    <n v="3386401"/>
    <x v="566"/>
    <n v="3196827"/>
    <n v="3328913"/>
    <n v="773343"/>
    <s v="Jan"/>
    <x v="1"/>
  </r>
  <r>
    <x v="336"/>
    <s v="January"/>
    <s v="SP500"/>
    <n v="375575"/>
    <x v="567"/>
    <n v="375575"/>
    <n v="378738"/>
    <n v="693796000000"/>
    <s v="January"/>
    <x v="0"/>
  </r>
  <r>
    <x v="336"/>
    <s v="Jan"/>
    <s v="BTCUSD"/>
    <n v="3151454"/>
    <x v="568"/>
    <n v="3086639"/>
    <n v="3386401"/>
    <n v="461455"/>
    <s v="Jan"/>
    <x v="1"/>
  </r>
  <r>
    <x v="337"/>
    <s v="January"/>
    <s v="SP500"/>
    <n v="383683"/>
    <x v="569"/>
    <n v="373248"/>
    <n v="375077"/>
    <n v="987804000000"/>
    <s v="January"/>
    <x v="0"/>
  </r>
  <r>
    <x v="337"/>
    <s v="Jan"/>
    <s v="BTCUSD"/>
    <n v="3185260"/>
    <x v="570"/>
    <n v="2919190"/>
    <n v="3151454"/>
    <n v="577914"/>
    <s v="Jan"/>
    <x v="1"/>
  </r>
  <r>
    <x v="338"/>
    <s v="January"/>
    <s v="SP500"/>
    <n v="386296"/>
    <x v="571"/>
    <n v="384778"/>
    <n v="384962"/>
    <n v="602909000000"/>
    <s v="January"/>
    <x v="0"/>
  </r>
  <r>
    <x v="338"/>
    <s v="Jan"/>
    <s v="BTCUSD"/>
    <n v="3155764"/>
    <x v="572"/>
    <n v="3083397"/>
    <n v="3185260"/>
    <n v="254286"/>
    <s v="Jan"/>
    <x v="1"/>
  </r>
  <r>
    <x v="339"/>
    <s v="January"/>
    <s v="SP500"/>
    <n v="385168"/>
    <x v="573"/>
    <n v="379716"/>
    <n v="385536"/>
    <n v="695586000000"/>
    <s v="January"/>
    <x v="0"/>
  </r>
  <r>
    <x v="339"/>
    <s v="Jan"/>
    <s v="BTCUSD"/>
    <n v="3358544"/>
    <x v="574"/>
    <n v="3148138"/>
    <n v="3155764"/>
    <n v="250278"/>
    <s v="Jan"/>
    <x v="1"/>
  </r>
  <r>
    <x v="340"/>
    <s v="Jan"/>
    <s v="BTCUSD"/>
    <n v="3250000"/>
    <x v="575"/>
    <n v="3095800"/>
    <n v="3358544"/>
    <n v="166848"/>
    <s v="Jan"/>
    <x v="1"/>
  </r>
  <r>
    <x v="341"/>
    <s v="Jan"/>
    <s v="BTCUSD"/>
    <n v="3239363"/>
    <x v="576"/>
    <n v="3144400"/>
    <n v="3250000"/>
    <n v="94200"/>
    <s v="Jan"/>
    <x v="1"/>
  </r>
  <r>
    <x v="342"/>
    <s v="January"/>
    <s v="SP500"/>
    <n v="384424"/>
    <x v="577"/>
    <n v="383041"/>
    <n v="384147"/>
    <n v="508043000000"/>
    <s v="January"/>
    <x v="0"/>
  </r>
  <r>
    <x v="342"/>
    <s v="Jan"/>
    <s v="BTCUSD"/>
    <n v="3094332"/>
    <x v="578"/>
    <n v="3047387"/>
    <n v="3239363"/>
    <n v="286923"/>
    <s v="Jan"/>
    <x v="1"/>
  </r>
  <r>
    <x v="343"/>
    <s v="January"/>
    <s v="SP500"/>
    <n v="385746"/>
    <x v="579"/>
    <n v="384505"/>
    <n v="385307"/>
    <n v="448446000000"/>
    <s v="January"/>
    <x v="0"/>
  </r>
  <r>
    <x v="343"/>
    <s v="Jan"/>
    <s v="BTCUSD"/>
    <n v="3460374"/>
    <x v="580"/>
    <n v="2880000"/>
    <n v="3094332"/>
    <n v="729052"/>
    <s v="Jan"/>
    <x v="1"/>
  </r>
  <r>
    <x v="344"/>
    <s v="January"/>
    <s v="SP500"/>
    <n v="381622"/>
    <x v="581"/>
    <n v="381622"/>
    <n v="385185"/>
    <n v="455179000000"/>
    <s v="January"/>
    <x v="0"/>
  </r>
  <r>
    <x v="344"/>
    <s v="Jan"/>
    <s v="BTCUSD"/>
    <n v="3507553"/>
    <x v="582"/>
    <n v="3340000"/>
    <n v="3460374"/>
    <n v="290001"/>
    <s v="Jan"/>
    <x v="1"/>
  </r>
  <r>
    <x v="345"/>
    <s v="January"/>
    <s v="SP500"/>
    <n v="378188"/>
    <x v="583"/>
    <n v="378037"/>
    <n v="379891"/>
    <n v="498294000000"/>
    <s v="January"/>
    <x v="0"/>
  </r>
  <r>
    <x v="345"/>
    <s v="Jan"/>
    <s v="BTCUSD"/>
    <n v="3650942"/>
    <x v="584"/>
    <n v="3500500"/>
    <n v="3507553"/>
    <n v="272629"/>
    <s v="Jan"/>
    <x v="1"/>
  </r>
  <r>
    <x v="346"/>
    <s v="Jan"/>
    <s v="BTCUSD"/>
    <n v="3508993"/>
    <x v="585"/>
    <n v="3477800"/>
    <n v="3650942"/>
    <n v="208384"/>
    <s v="Jan"/>
    <x v="1"/>
  </r>
  <r>
    <x v="347"/>
    <s v="Jan"/>
    <s v="BTCUSD"/>
    <n v="3621522"/>
    <x v="586"/>
    <n v="3386896"/>
    <n v="3508993"/>
    <n v="175994"/>
    <s v="Jan"/>
    <x v="1"/>
  </r>
  <r>
    <x v="348"/>
    <s v="Jan"/>
    <s v="BTCUSD"/>
    <n v="3654931"/>
    <x v="587"/>
    <n v="3540001"/>
    <n v="3621522"/>
    <n v="185553"/>
    <s v="Jan"/>
    <x v="1"/>
  </r>
  <r>
    <x v="349"/>
    <s v="January"/>
    <s v="SP500"/>
    <n v="378873"/>
    <x v="588"/>
    <n v="374962"/>
    <n v="376825"/>
    <n v="535306000000"/>
    <s v="January"/>
    <x v="0"/>
  </r>
  <r>
    <x v="349"/>
    <s v="Jan"/>
    <s v="BTCUSD"/>
    <n v="3870652"/>
    <x v="589"/>
    <n v="3435363"/>
    <n v="3654931"/>
    <n v="450399"/>
    <s v="Jan"/>
    <x v="1"/>
  </r>
  <r>
    <x v="350"/>
    <s v="January"/>
    <s v="SP500"/>
    <n v="381498"/>
    <x v="590"/>
    <n v="379286"/>
    <n v="379554"/>
    <n v="518014000000"/>
    <s v="January"/>
    <x v="0"/>
  </r>
  <r>
    <x v="350"/>
    <s v="Jan"/>
    <s v="BTCUSD"/>
    <n v="3704070"/>
    <x v="591"/>
    <n v="3675140"/>
    <n v="3870652"/>
    <n v="268651"/>
    <s v="Jan"/>
    <x v="1"/>
  </r>
  <r>
    <x v="351"/>
    <s v="January"/>
    <s v="SP500"/>
    <n v="380223"/>
    <x v="592"/>
    <n v="379150"/>
    <n v="380984"/>
    <n v="459042000000"/>
    <s v="January"/>
    <x v="0"/>
  </r>
  <r>
    <x v="351"/>
    <s v="Jan"/>
    <s v="BTCUSD"/>
    <n v="3380423"/>
    <x v="593"/>
    <n v="3280000"/>
    <n v="3704070"/>
    <n v="404991"/>
    <s v="Jan"/>
    <x v="1"/>
  </r>
  <r>
    <x v="352"/>
    <s v="January"/>
    <s v="SP500"/>
    <n v="380162"/>
    <x v="594"/>
    <n v="377651"/>
    <n v="380119"/>
    <n v="497721000000"/>
    <s v="January"/>
    <x v="0"/>
  </r>
  <r>
    <x v="352"/>
    <s v="Jan"/>
    <s v="BTCUSD"/>
    <n v="3500000"/>
    <x v="595"/>
    <n v="3217829"/>
    <n v="3380423"/>
    <n v="524577"/>
    <s v="Jan"/>
    <x v="1"/>
  </r>
  <r>
    <x v="353"/>
    <s v="January"/>
    <s v="SP500"/>
    <n v="380314"/>
    <x v="596"/>
    <n v="378902"/>
    <n v="379961"/>
    <n v="445050000000"/>
    <s v="January"/>
    <x v="0"/>
  </r>
  <r>
    <x v="353"/>
    <s v="Jan"/>
    <s v="BTCUSD"/>
    <n v="3543513"/>
    <x v="597"/>
    <n v="3025000"/>
    <n v="3500000"/>
    <n v="1255601"/>
    <s v="Jan"/>
    <x v="1"/>
  </r>
  <r>
    <x v="354"/>
    <s v="Jan"/>
    <s v="BTCUSD"/>
    <n v="4049050"/>
    <x v="598"/>
    <n v="3310000"/>
    <n v="3543513"/>
    <n v="591367"/>
    <s v="Jan"/>
    <x v="1"/>
  </r>
  <r>
    <x v="355"/>
    <s v="Jan"/>
    <s v="BTCUSD"/>
    <n v="4027903"/>
    <x v="599"/>
    <n v="3876882"/>
    <n v="4049050"/>
    <n v="267895"/>
    <s v="Jan"/>
    <x v="1"/>
  </r>
  <r>
    <x v="356"/>
    <s v="January"/>
    <s v="SP500"/>
    <n v="381505"/>
    <x v="600"/>
    <n v="378360"/>
    <n v="382468"/>
    <n v="476418000000"/>
    <s v="January"/>
    <x v="0"/>
  </r>
  <r>
    <x v="356"/>
    <s v="Jan"/>
    <s v="BTCUSD"/>
    <n v="3847478"/>
    <x v="601"/>
    <n v="3757479"/>
    <n v="4027903"/>
    <n v="566185"/>
    <s v="Jan"/>
    <x v="1"/>
  </r>
  <r>
    <x v="357"/>
    <s v="January"/>
    <s v="SP500"/>
    <n v="376471"/>
    <x v="602"/>
    <n v="376471"/>
    <n v="380379"/>
    <n v="508087000000"/>
    <s v="January"/>
    <x v="0"/>
  </r>
  <r>
    <x v="357"/>
    <s v="Jan"/>
    <s v="BTCUSD"/>
    <n v="3761311"/>
    <x v="603"/>
    <n v="3612905"/>
    <n v="3847478"/>
    <n v="574352"/>
    <s v="Jan"/>
    <x v="1"/>
  </r>
  <r>
    <x v="358"/>
    <s v="January"/>
    <s v="SP500"/>
    <n v="371220"/>
    <x v="604"/>
    <n v="370534"/>
    <n v="374814"/>
    <n v="604997000000"/>
    <s v="January"/>
    <x v="0"/>
  </r>
  <r>
    <x v="358"/>
    <s v="Jan"/>
    <s v="BTCUSD"/>
    <n v="3422819"/>
    <x v="605"/>
    <n v="3368582"/>
    <n v="3761311"/>
    <n v="492500"/>
    <s v="Jan"/>
    <x v="1"/>
  </r>
  <r>
    <x v="359"/>
    <s v="January"/>
    <s v="SP500"/>
    <n v="369802"/>
    <x v="606"/>
    <n v="369507"/>
    <n v="372686"/>
    <n v="458262000000"/>
    <s v="January"/>
    <x v="0"/>
  </r>
  <r>
    <x v="359"/>
    <s v="Jan"/>
    <s v="BTCUSD"/>
    <n v="3120346"/>
    <x v="607"/>
    <n v="2991450"/>
    <n v="3422819"/>
    <n v="305656"/>
    <s v="Jan"/>
    <x v="1"/>
  </r>
  <r>
    <x v="360"/>
    <s v="January"/>
    <s v="SP500"/>
    <n v="376461"/>
    <x v="608"/>
    <n v="366271"/>
    <n v="370065"/>
    <n v="500668000000"/>
    <s v="January"/>
    <x v="0"/>
  </r>
  <r>
    <x v="360"/>
    <s v="Jan"/>
    <s v="BTCUSD"/>
    <n v="3361730"/>
    <x v="609"/>
    <n v="2763234"/>
    <n v="3120346"/>
    <n v="460392"/>
    <s v="Jan"/>
    <x v="1"/>
  </r>
  <r>
    <x v="361"/>
    <m/>
    <m/>
    <m/>
    <x v="610"/>
    <m/>
    <m/>
    <m/>
    <m/>
    <x v="2"/>
  </r>
  <r>
    <x v="361"/>
    <m/>
    <m/>
    <m/>
    <x v="610"/>
    <m/>
    <m/>
    <m/>
    <m/>
    <x v="2"/>
  </r>
  <r>
    <x v="361"/>
    <m/>
    <m/>
    <m/>
    <x v="610"/>
    <m/>
    <m/>
    <m/>
    <m/>
    <x v="2"/>
  </r>
  <r>
    <x v="361"/>
    <m/>
    <m/>
    <m/>
    <x v="610"/>
    <m/>
    <m/>
    <m/>
    <m/>
    <x v="2"/>
  </r>
  <r>
    <x v="361"/>
    <m/>
    <m/>
    <m/>
    <x v="610"/>
    <m/>
    <m/>
    <m/>
    <m/>
    <x v="2"/>
  </r>
  <r>
    <x v="361"/>
    <m/>
    <m/>
    <m/>
    <x v="610"/>
    <m/>
    <m/>
    <m/>
    <m/>
    <x v="2"/>
  </r>
  <r>
    <x v="361"/>
    <m/>
    <m/>
    <m/>
    <x v="610"/>
    <m/>
    <m/>
    <m/>
    <m/>
    <x v="2"/>
  </r>
  <r>
    <x v="361"/>
    <m/>
    <m/>
    <m/>
    <x v="610"/>
    <m/>
    <m/>
    <m/>
    <m/>
    <x v="2"/>
  </r>
  <r>
    <x v="361"/>
    <m/>
    <m/>
    <m/>
    <x v="610"/>
    <m/>
    <m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BA7FFF-D625-4A6F-A0DB-3385D2B5AE5A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B19:E382" firstHeaderRow="1" firstDataRow="2" firstDataCol="1"/>
  <pivotFields count="11">
    <pivotField axis="axisRow" showAll="0">
      <items count="369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h="1" x="367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Col" showAll="0">
      <items count="4">
        <item x="1"/>
        <item x="0"/>
        <item h="1" x="2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0"/>
  </rowFields>
  <rowItems count="362"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Sum of High" fld="4" baseField="0" baseItem="0"/>
  </dataFields>
  <formats count="39">
    <format dxfId="76">
      <pivotArea grandRow="1" outline="0" collapsedLevelsAreSubtotals="1" fieldPosition="0"/>
    </format>
    <format dxfId="75">
      <pivotArea dataOnly="0" labelOnly="1" grandRow="1" outline="0" fieldPosition="0"/>
    </format>
    <format dxfId="74">
      <pivotArea grandRow="1" outline="0" collapsedLevelsAreSubtotals="1" fieldPosition="0"/>
    </format>
    <format dxfId="73">
      <pivotArea dataOnly="0" labelOnly="1" grandRow="1" outline="0" fieldPosition="0"/>
    </format>
    <format dxfId="72">
      <pivotArea collapsedLevelsAreSubtotals="1" fieldPosition="0">
        <references count="1">
          <reference field="0" count="362">
            <x v="0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</reference>
        </references>
      </pivotArea>
    </format>
    <format dxfId="71">
      <pivotArea dataOnly="0" labelOnly="1" fieldPosition="0">
        <references count="1">
          <reference field="0" count="50">
            <x v="0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</reference>
        </references>
      </pivotArea>
    </format>
    <format dxfId="70">
      <pivotArea dataOnly="0" labelOnly="1" fieldPosition="0">
        <references count="1">
          <reference field="0" count="50">
            <x v="53"/>
            <x v="54"/>
            <x v="55"/>
            <x v="56"/>
            <x v="57"/>
            <x v="58"/>
            <x v="59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</reference>
        </references>
      </pivotArea>
    </format>
    <format dxfId="69">
      <pivotArea dataOnly="0" labelOnly="1" fieldPosition="0">
        <references count="1">
          <reference field="0" count="50"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  <x v="152"/>
            <x v="153"/>
            <x v="154"/>
          </reference>
        </references>
      </pivotArea>
    </format>
    <format dxfId="68">
      <pivotArea dataOnly="0" labelOnly="1" fieldPosition="0">
        <references count="1">
          <reference field="0" count="50"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  <x v="200"/>
            <x v="201"/>
            <x v="202"/>
            <x v="203"/>
            <x v="204"/>
          </reference>
        </references>
      </pivotArea>
    </format>
    <format dxfId="67">
      <pivotArea dataOnly="0" labelOnly="1" fieldPosition="0">
        <references count="1">
          <reference field="0" count="50"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  <x v="250"/>
            <x v="251"/>
            <x v="252"/>
            <x v="253"/>
            <x v="254"/>
          </reference>
        </references>
      </pivotArea>
    </format>
    <format dxfId="66">
      <pivotArea dataOnly="0" labelOnly="1" fieldPosition="0">
        <references count="1">
          <reference field="0" count="50"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  <x v="300"/>
            <x v="301"/>
            <x v="302"/>
            <x v="303"/>
            <x v="304"/>
          </reference>
        </references>
      </pivotArea>
    </format>
    <format dxfId="65">
      <pivotArea dataOnly="0" labelOnly="1" fieldPosition="0">
        <references count="1">
          <reference field="0" count="50"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  <x v="350"/>
            <x v="351"/>
            <x v="352"/>
            <x v="353"/>
            <x v="354"/>
          </reference>
        </references>
      </pivotArea>
    </format>
    <format dxfId="64">
      <pivotArea dataOnly="0" labelOnly="1" fieldPosition="0">
        <references count="1">
          <reference field="0" count="12"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</reference>
        </references>
      </pivotArea>
    </format>
    <format dxfId="63">
      <pivotArea collapsedLevelsAreSubtotals="1" fieldPosition="0">
        <references count="2">
          <reference field="0" count="361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</reference>
          <reference field="9" count="2" selected="0">
            <x v="0"/>
            <x v="1"/>
          </reference>
        </references>
      </pivotArea>
    </format>
    <format dxfId="62">
      <pivotArea dataOnly="0" labelOnly="1" fieldPosition="0">
        <references count="1">
          <reference field="0" count="50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</reference>
        </references>
      </pivotArea>
    </format>
    <format dxfId="61">
      <pivotArea dataOnly="0" labelOnly="1" fieldPosition="0">
        <references count="1">
          <reference field="0" count="50">
            <x v="54"/>
            <x v="55"/>
            <x v="56"/>
            <x v="57"/>
            <x v="58"/>
            <x v="59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</reference>
        </references>
      </pivotArea>
    </format>
    <format dxfId="60">
      <pivotArea dataOnly="0" labelOnly="1" fieldPosition="0">
        <references count="1">
          <reference field="0" count="50"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  <x v="152"/>
            <x v="153"/>
            <x v="154"/>
            <x v="155"/>
          </reference>
        </references>
      </pivotArea>
    </format>
    <format dxfId="59">
      <pivotArea dataOnly="0" labelOnly="1" fieldPosition="0">
        <references count="1">
          <reference field="0" count="50"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  <x v="200"/>
            <x v="201"/>
            <x v="202"/>
            <x v="203"/>
            <x v="204"/>
            <x v="205"/>
          </reference>
        </references>
      </pivotArea>
    </format>
    <format dxfId="58">
      <pivotArea dataOnly="0" labelOnly="1" fieldPosition="0">
        <references count="1">
          <reference field="0" count="50"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  <x v="250"/>
            <x v="251"/>
            <x v="252"/>
            <x v="253"/>
            <x v="254"/>
            <x v="255"/>
          </reference>
        </references>
      </pivotArea>
    </format>
    <format dxfId="57">
      <pivotArea dataOnly="0" labelOnly="1" fieldPosition="0">
        <references count="1">
          <reference field="0" count="50"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  <x v="300"/>
            <x v="301"/>
            <x v="302"/>
            <x v="303"/>
            <x v="304"/>
            <x v="305"/>
          </reference>
        </references>
      </pivotArea>
    </format>
    <format dxfId="56">
      <pivotArea dataOnly="0" labelOnly="1" fieldPosition="0">
        <references count="1">
          <reference field="0" count="50"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  <x v="350"/>
            <x v="351"/>
            <x v="352"/>
            <x v="353"/>
            <x v="354"/>
            <x v="355"/>
          </reference>
        </references>
      </pivotArea>
    </format>
    <format dxfId="55">
      <pivotArea dataOnly="0" labelOnly="1" fieldPosition="0">
        <references count="1">
          <reference field="0" count="11"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</reference>
        </references>
      </pivotArea>
    </format>
    <format dxfId="54">
      <pivotArea collapsedLevelsAreSubtotals="1" fieldPosition="0">
        <references count="2">
          <reference field="0" count="361"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</reference>
          <reference field="9" count="2" selected="0">
            <x v="0"/>
            <x v="1"/>
          </reference>
        </references>
      </pivotArea>
    </format>
    <format dxfId="50">
      <pivotArea dataOnly="0" labelOnly="1" fieldPosition="0">
        <references count="1">
          <reference field="0" count="50"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</reference>
        </references>
      </pivotArea>
    </format>
    <format dxfId="49">
      <pivotArea dataOnly="0" labelOnly="1" fieldPosition="0">
        <references count="1">
          <reference field="0" count="50">
            <x v="55"/>
            <x v="56"/>
            <x v="57"/>
            <x v="58"/>
            <x v="59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</reference>
        </references>
      </pivotArea>
    </format>
    <format dxfId="48">
      <pivotArea dataOnly="0" labelOnly="1" fieldPosition="0">
        <references count="1">
          <reference field="0" count="50"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  <x v="152"/>
            <x v="153"/>
            <x v="154"/>
            <x v="155"/>
            <x v="156"/>
          </reference>
        </references>
      </pivotArea>
    </format>
    <format dxfId="47">
      <pivotArea dataOnly="0" labelOnly="1" fieldPosition="0">
        <references count="1">
          <reference field="0" count="50"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  <x v="200"/>
            <x v="201"/>
            <x v="202"/>
            <x v="203"/>
            <x v="204"/>
            <x v="205"/>
            <x v="206"/>
          </reference>
        </references>
      </pivotArea>
    </format>
    <format dxfId="46">
      <pivotArea dataOnly="0" labelOnly="1" fieldPosition="0">
        <references count="1">
          <reference field="0" count="50"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  <x v="250"/>
            <x v="251"/>
            <x v="252"/>
            <x v="253"/>
            <x v="254"/>
            <x v="255"/>
            <x v="256"/>
          </reference>
        </references>
      </pivotArea>
    </format>
    <format dxfId="45">
      <pivotArea dataOnly="0" labelOnly="1" fieldPosition="0">
        <references count="1">
          <reference field="0" count="50"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  <x v="300"/>
            <x v="301"/>
            <x v="302"/>
            <x v="303"/>
            <x v="304"/>
            <x v="305"/>
            <x v="306"/>
          </reference>
        </references>
      </pivotArea>
    </format>
    <format dxfId="44">
      <pivotArea dataOnly="0" labelOnly="1" fieldPosition="0">
        <references count="1">
          <reference field="0" count="50"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  <x v="350"/>
            <x v="351"/>
            <x v="352"/>
            <x v="353"/>
            <x v="354"/>
            <x v="355"/>
            <x v="356"/>
          </reference>
        </references>
      </pivotArea>
    </format>
    <format dxfId="43">
      <pivotArea dataOnly="0" labelOnly="1" fieldPosition="0">
        <references count="1">
          <reference field="0" count="10">
            <x v="357"/>
            <x v="358"/>
            <x v="359"/>
            <x v="360"/>
            <x v="361"/>
            <x v="362"/>
            <x v="363"/>
            <x v="364"/>
            <x v="365"/>
            <x v="366"/>
          </reference>
        </references>
      </pivotArea>
    </format>
    <format dxfId="40">
      <pivotArea dataOnly="0" labelOnly="1" fieldPosition="0">
        <references count="1">
          <reference field="0" count="50"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</reference>
        </references>
      </pivotArea>
    </format>
    <format dxfId="39">
      <pivotArea dataOnly="0" labelOnly="1" fieldPosition="0">
        <references count="1">
          <reference field="0" count="50">
            <x v="55"/>
            <x v="56"/>
            <x v="57"/>
            <x v="58"/>
            <x v="59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</reference>
        </references>
      </pivotArea>
    </format>
    <format dxfId="38">
      <pivotArea dataOnly="0" labelOnly="1" fieldPosition="0">
        <references count="1">
          <reference field="0" count="50"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  <x v="152"/>
            <x v="153"/>
            <x v="154"/>
            <x v="155"/>
            <x v="156"/>
          </reference>
        </references>
      </pivotArea>
    </format>
    <format dxfId="37">
      <pivotArea dataOnly="0" labelOnly="1" fieldPosition="0">
        <references count="1">
          <reference field="0" count="50"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  <x v="200"/>
            <x v="201"/>
            <x v="202"/>
            <x v="203"/>
            <x v="204"/>
            <x v="205"/>
            <x v="206"/>
          </reference>
        </references>
      </pivotArea>
    </format>
    <format dxfId="36">
      <pivotArea dataOnly="0" labelOnly="1" fieldPosition="0">
        <references count="1">
          <reference field="0" count="50"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  <x v="250"/>
            <x v="251"/>
            <x v="252"/>
            <x v="253"/>
            <x v="254"/>
            <x v="255"/>
            <x v="256"/>
          </reference>
        </references>
      </pivotArea>
    </format>
    <format dxfId="35">
      <pivotArea dataOnly="0" labelOnly="1" fieldPosition="0">
        <references count="1">
          <reference field="0" count="50"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  <x v="300"/>
            <x v="301"/>
            <x v="302"/>
            <x v="303"/>
            <x v="304"/>
            <x v="305"/>
            <x v="306"/>
          </reference>
        </references>
      </pivotArea>
    </format>
    <format dxfId="34">
      <pivotArea dataOnly="0" labelOnly="1" fieldPosition="0">
        <references count="1">
          <reference field="0" count="50"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  <x v="350"/>
            <x v="351"/>
            <x v="352"/>
            <x v="353"/>
            <x v="354"/>
            <x v="355"/>
            <x v="356"/>
          </reference>
        </references>
      </pivotArea>
    </format>
    <format dxfId="33">
      <pivotArea dataOnly="0" labelOnly="1" fieldPosition="0">
        <references count="1">
          <reference field="0" count="10">
            <x v="357"/>
            <x v="358"/>
            <x v="359"/>
            <x v="360"/>
            <x v="361"/>
            <x v="362"/>
            <x v="363"/>
            <x v="364"/>
            <x v="365"/>
            <x v="366"/>
          </reference>
        </references>
      </pivotArea>
    </format>
  </formats>
  <conditionalFormats count="2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361"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  <x v="89"/>
              <x v="90"/>
              <x v="91"/>
              <x v="92"/>
              <x v="93"/>
              <x v="94"/>
              <x v="95"/>
              <x v="96"/>
              <x v="97"/>
              <x v="98"/>
              <x v="99"/>
              <x v="100"/>
              <x v="101"/>
              <x v="102"/>
              <x v="103"/>
              <x v="104"/>
              <x v="105"/>
              <x v="106"/>
              <x v="107"/>
              <x v="108"/>
              <x v="109"/>
              <x v="110"/>
              <x v="111"/>
              <x v="112"/>
              <x v="113"/>
              <x v="114"/>
              <x v="115"/>
              <x v="116"/>
              <x v="117"/>
              <x v="118"/>
              <x v="119"/>
              <x v="120"/>
              <x v="121"/>
              <x v="123"/>
              <x v="124"/>
              <x v="125"/>
              <x v="126"/>
              <x v="127"/>
              <x v="128"/>
              <x v="129"/>
              <x v="130"/>
              <x v="131"/>
              <x v="132"/>
              <x v="133"/>
              <x v="134"/>
              <x v="135"/>
              <x v="136"/>
              <x v="137"/>
              <x v="138"/>
              <x v="139"/>
              <x v="140"/>
              <x v="141"/>
              <x v="142"/>
              <x v="143"/>
              <x v="144"/>
              <x v="145"/>
              <x v="146"/>
              <x v="147"/>
              <x v="148"/>
              <x v="149"/>
              <x v="150"/>
              <x v="151"/>
              <x v="152"/>
              <x v="153"/>
              <x v="154"/>
              <x v="155"/>
              <x v="156"/>
              <x v="157"/>
              <x v="158"/>
              <x v="159"/>
              <x v="160"/>
              <x v="161"/>
              <x v="162"/>
              <x v="163"/>
              <x v="164"/>
              <x v="165"/>
              <x v="166"/>
              <x v="167"/>
              <x v="168"/>
              <x v="169"/>
              <x v="170"/>
              <x v="171"/>
              <x v="172"/>
              <x v="173"/>
              <x v="174"/>
              <x v="175"/>
              <x v="176"/>
              <x v="177"/>
              <x v="178"/>
              <x v="179"/>
              <x v="180"/>
              <x v="181"/>
              <x v="182"/>
              <x v="183"/>
              <x v="184"/>
              <x v="185"/>
              <x v="186"/>
              <x v="187"/>
              <x v="188"/>
              <x v="189"/>
              <x v="190"/>
              <x v="191"/>
              <x v="192"/>
              <x v="193"/>
              <x v="194"/>
              <x v="195"/>
              <x v="196"/>
              <x v="197"/>
              <x v="198"/>
              <x v="199"/>
              <x v="200"/>
              <x v="201"/>
              <x v="202"/>
              <x v="203"/>
              <x v="204"/>
              <x v="205"/>
              <x v="206"/>
              <x v="207"/>
              <x v="208"/>
              <x v="209"/>
              <x v="210"/>
              <x v="211"/>
              <x v="212"/>
              <x v="213"/>
              <x v="214"/>
              <x v="215"/>
              <x v="216"/>
              <x v="217"/>
              <x v="218"/>
              <x v="219"/>
              <x v="220"/>
              <x v="221"/>
              <x v="222"/>
              <x v="223"/>
              <x v="224"/>
              <x v="225"/>
              <x v="226"/>
              <x v="227"/>
              <x v="228"/>
              <x v="229"/>
              <x v="230"/>
              <x v="231"/>
              <x v="232"/>
              <x v="233"/>
              <x v="234"/>
              <x v="235"/>
              <x v="236"/>
              <x v="237"/>
              <x v="238"/>
              <x v="239"/>
              <x v="240"/>
              <x v="241"/>
              <x v="242"/>
              <x v="243"/>
              <x v="244"/>
              <x v="245"/>
              <x v="246"/>
              <x v="247"/>
              <x v="248"/>
              <x v="249"/>
              <x v="250"/>
              <x v="251"/>
              <x v="252"/>
              <x v="253"/>
              <x v="254"/>
              <x v="255"/>
              <x v="256"/>
              <x v="257"/>
              <x v="258"/>
              <x v="259"/>
              <x v="260"/>
              <x v="261"/>
              <x v="262"/>
              <x v="263"/>
              <x v="264"/>
              <x v="265"/>
              <x v="266"/>
              <x v="267"/>
              <x v="268"/>
              <x v="269"/>
              <x v="270"/>
              <x v="271"/>
              <x v="272"/>
              <x v="273"/>
              <x v="274"/>
              <x v="275"/>
              <x v="276"/>
              <x v="277"/>
              <x v="278"/>
              <x v="279"/>
              <x v="280"/>
              <x v="281"/>
              <x v="282"/>
              <x v="283"/>
              <x v="284"/>
              <x v="285"/>
              <x v="286"/>
              <x v="287"/>
              <x v="288"/>
              <x v="289"/>
              <x v="290"/>
              <x v="291"/>
              <x v="292"/>
              <x v="293"/>
              <x v="294"/>
              <x v="295"/>
              <x v="296"/>
              <x v="297"/>
              <x v="298"/>
              <x v="299"/>
              <x v="300"/>
              <x v="301"/>
              <x v="302"/>
              <x v="303"/>
              <x v="304"/>
              <x v="305"/>
              <x v="306"/>
              <x v="307"/>
              <x v="308"/>
              <x v="309"/>
              <x v="310"/>
              <x v="311"/>
              <x v="312"/>
              <x v="313"/>
              <x v="314"/>
              <x v="315"/>
              <x v="316"/>
              <x v="317"/>
              <x v="318"/>
              <x v="319"/>
              <x v="320"/>
              <x v="321"/>
              <x v="322"/>
              <x v="323"/>
              <x v="324"/>
              <x v="325"/>
              <x v="326"/>
              <x v="327"/>
              <x v="328"/>
              <x v="329"/>
              <x v="330"/>
              <x v="331"/>
              <x v="332"/>
              <x v="333"/>
              <x v="334"/>
              <x v="335"/>
              <x v="336"/>
              <x v="337"/>
              <x v="338"/>
              <x v="339"/>
              <x v="340"/>
              <x v="341"/>
              <x v="342"/>
              <x v="343"/>
              <x v="344"/>
              <x v="345"/>
              <x v="346"/>
              <x v="347"/>
              <x v="348"/>
              <x v="349"/>
              <x v="350"/>
              <x v="351"/>
              <x v="352"/>
              <x v="353"/>
              <x v="354"/>
              <x v="355"/>
              <x v="356"/>
              <x v="357"/>
              <x v="358"/>
              <x v="359"/>
              <x v="360"/>
              <x v="361"/>
              <x v="362"/>
              <x v="363"/>
              <x v="364"/>
              <x v="365"/>
              <x v="366"/>
            </reference>
            <reference field="9" count="1" selected="0">
              <x v="1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361"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1"/>
              <x v="62"/>
              <x v="63"/>
              <x v="64"/>
              <x v="65"/>
              <x v="66"/>
              <x v="67"/>
              <x v="68"/>
              <x v="69"/>
              <x v="70"/>
              <x v="71"/>
              <x v="72"/>
              <x v="73"/>
              <x v="74"/>
              <x v="75"/>
              <x v="76"/>
              <x v="77"/>
              <x v="78"/>
              <x v="79"/>
              <x v="80"/>
              <x v="81"/>
              <x v="82"/>
              <x v="83"/>
              <x v="84"/>
              <x v="85"/>
              <x v="86"/>
              <x v="87"/>
              <x v="88"/>
              <x v="89"/>
              <x v="90"/>
              <x v="91"/>
              <x v="92"/>
              <x v="93"/>
              <x v="94"/>
              <x v="95"/>
              <x v="96"/>
              <x v="97"/>
              <x v="98"/>
              <x v="99"/>
              <x v="100"/>
              <x v="101"/>
              <x v="102"/>
              <x v="103"/>
              <x v="104"/>
              <x v="105"/>
              <x v="106"/>
              <x v="107"/>
              <x v="108"/>
              <x v="109"/>
              <x v="110"/>
              <x v="111"/>
              <x v="112"/>
              <x v="113"/>
              <x v="114"/>
              <x v="115"/>
              <x v="116"/>
              <x v="117"/>
              <x v="118"/>
              <x v="119"/>
              <x v="120"/>
              <x v="121"/>
              <x v="123"/>
              <x v="124"/>
              <x v="125"/>
              <x v="126"/>
              <x v="127"/>
              <x v="128"/>
              <x v="129"/>
              <x v="130"/>
              <x v="131"/>
              <x v="132"/>
              <x v="133"/>
              <x v="134"/>
              <x v="135"/>
              <x v="136"/>
              <x v="137"/>
              <x v="138"/>
              <x v="139"/>
              <x v="140"/>
              <x v="141"/>
              <x v="142"/>
              <x v="143"/>
              <x v="144"/>
              <x v="145"/>
              <x v="146"/>
              <x v="147"/>
              <x v="148"/>
              <x v="149"/>
              <x v="150"/>
              <x v="151"/>
              <x v="152"/>
              <x v="153"/>
              <x v="154"/>
              <x v="155"/>
              <x v="156"/>
              <x v="157"/>
              <x v="158"/>
              <x v="159"/>
              <x v="160"/>
              <x v="161"/>
              <x v="162"/>
              <x v="163"/>
              <x v="164"/>
              <x v="165"/>
              <x v="166"/>
              <x v="167"/>
              <x v="168"/>
              <x v="169"/>
              <x v="170"/>
              <x v="171"/>
              <x v="172"/>
              <x v="173"/>
              <x v="174"/>
              <x v="175"/>
              <x v="176"/>
              <x v="177"/>
              <x v="178"/>
              <x v="179"/>
              <x v="180"/>
              <x v="181"/>
              <x v="182"/>
              <x v="183"/>
              <x v="184"/>
              <x v="185"/>
              <x v="186"/>
              <x v="187"/>
              <x v="188"/>
              <x v="189"/>
              <x v="190"/>
              <x v="191"/>
              <x v="192"/>
              <x v="193"/>
              <x v="194"/>
              <x v="195"/>
              <x v="196"/>
              <x v="197"/>
              <x v="198"/>
              <x v="199"/>
              <x v="200"/>
              <x v="201"/>
              <x v="202"/>
              <x v="203"/>
              <x v="204"/>
              <x v="205"/>
              <x v="206"/>
              <x v="207"/>
              <x v="208"/>
              <x v="209"/>
              <x v="210"/>
              <x v="211"/>
              <x v="212"/>
              <x v="213"/>
              <x v="214"/>
              <x v="215"/>
              <x v="216"/>
              <x v="217"/>
              <x v="218"/>
              <x v="219"/>
              <x v="220"/>
              <x v="221"/>
              <x v="222"/>
              <x v="223"/>
              <x v="224"/>
              <x v="225"/>
              <x v="226"/>
              <x v="227"/>
              <x v="228"/>
              <x v="229"/>
              <x v="230"/>
              <x v="231"/>
              <x v="232"/>
              <x v="233"/>
              <x v="234"/>
              <x v="235"/>
              <x v="236"/>
              <x v="237"/>
              <x v="238"/>
              <x v="239"/>
              <x v="240"/>
              <x v="241"/>
              <x v="242"/>
              <x v="243"/>
              <x v="244"/>
              <x v="245"/>
              <x v="246"/>
              <x v="247"/>
              <x v="248"/>
              <x v="249"/>
              <x v="250"/>
              <x v="251"/>
              <x v="252"/>
              <x v="253"/>
              <x v="254"/>
              <x v="255"/>
              <x v="256"/>
              <x v="257"/>
              <x v="258"/>
              <x v="259"/>
              <x v="260"/>
              <x v="261"/>
              <x v="262"/>
              <x v="263"/>
              <x v="264"/>
              <x v="265"/>
              <x v="266"/>
              <x v="267"/>
              <x v="268"/>
              <x v="269"/>
              <x v="270"/>
              <x v="271"/>
              <x v="272"/>
              <x v="273"/>
              <x v="274"/>
              <x v="275"/>
              <x v="276"/>
              <x v="277"/>
              <x v="278"/>
              <x v="279"/>
              <x v="280"/>
              <x v="281"/>
              <x v="282"/>
              <x v="283"/>
              <x v="284"/>
              <x v="285"/>
              <x v="286"/>
              <x v="287"/>
              <x v="288"/>
              <x v="289"/>
              <x v="290"/>
              <x v="291"/>
              <x v="292"/>
              <x v="293"/>
              <x v="294"/>
              <x v="295"/>
              <x v="296"/>
              <x v="297"/>
              <x v="298"/>
              <x v="299"/>
              <x v="300"/>
              <x v="301"/>
              <x v="302"/>
              <x v="303"/>
              <x v="304"/>
              <x v="305"/>
              <x v="306"/>
              <x v="307"/>
              <x v="308"/>
              <x v="309"/>
              <x v="310"/>
              <x v="311"/>
              <x v="312"/>
              <x v="313"/>
              <x v="314"/>
              <x v="315"/>
              <x v="316"/>
              <x v="317"/>
              <x v="318"/>
              <x v="319"/>
              <x v="320"/>
              <x v="321"/>
              <x v="322"/>
              <x v="323"/>
              <x v="324"/>
              <x v="325"/>
              <x v="326"/>
              <x v="327"/>
              <x v="328"/>
              <x v="329"/>
              <x v="330"/>
              <x v="331"/>
              <x v="332"/>
              <x v="333"/>
              <x v="334"/>
              <x v="335"/>
              <x v="336"/>
              <x v="337"/>
              <x v="338"/>
              <x v="339"/>
              <x v="340"/>
              <x v="341"/>
              <x v="342"/>
              <x v="343"/>
              <x v="344"/>
              <x v="345"/>
              <x v="346"/>
              <x v="347"/>
              <x v="348"/>
              <x v="349"/>
              <x v="350"/>
              <x v="351"/>
              <x v="352"/>
              <x v="353"/>
              <x v="354"/>
              <x v="355"/>
              <x v="356"/>
              <x v="357"/>
              <x v="358"/>
              <x v="359"/>
              <x v="360"/>
              <x v="361"/>
              <x v="362"/>
              <x v="363"/>
              <x v="364"/>
              <x v="365"/>
              <x v="366"/>
            </reference>
            <reference field="9" count="1" selected="0">
              <x v="0"/>
            </reference>
          </references>
        </pivotArea>
      </pivotAreas>
    </conditionalFormat>
  </conditionalFormats>
  <chartFormats count="3"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9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B235C7-6D72-45C6-B2B8-878255FBAADF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F17" firstHeaderRow="1" firstDataRow="2" firstDataCol="1"/>
  <pivotFields count="5">
    <pivotField dataField="1"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axis="axisRow" showAll="0">
      <items count="14"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12"/>
        <item t="default"/>
      </items>
    </pivotField>
  </pivotFields>
  <rowFields count="1">
    <field x="4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Average of Close" fld="0" subtotal="average" baseField="4" baseItem="0" numFmtId="3"/>
  </dataFields>
  <formats count="9">
    <format dxfId="83">
      <pivotArea grandRow="1" outline="0" collapsedLevelsAreSubtotals="1" fieldPosition="0"/>
    </format>
    <format dxfId="82">
      <pivotArea dataOnly="0" labelOnly="1" grandRow="1" outline="0" fieldPosition="0"/>
    </format>
    <format dxfId="81">
      <pivotArea grandRow="1" outline="0" collapsedLevelsAreSubtotals="1" fieldPosition="0"/>
    </format>
    <format dxfId="80">
      <pivotArea dataOnly="0" labelOnly="1" grandRow="1" outline="0" fieldPosition="0"/>
    </format>
    <format dxfId="79">
      <pivotArea outline="0" collapsedLevelsAreSubtotals="1" fieldPosition="0"/>
    </format>
    <format dxfId="78">
      <pivotArea collapsedLevelsAreSubtotals="1" fieldPosition="0">
        <references count="2">
          <reference field="3" count="2" selected="0">
            <x v="0"/>
            <x v="1"/>
          </reference>
          <reference field="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77">
      <pivotArea dataOnly="0" labelOnly="1" fieldPosition="0">
        <references count="1">
          <reference field="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42">
      <pivotArea dataOnly="0" labelOnly="1" fieldPosition="0">
        <references count="1">
          <reference field="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41">
      <pivotArea dataOnly="0" labelOnly="1" fieldPosition="0">
        <references count="1">
          <reference field="4" count="1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</reference>
        </references>
      </pivotArea>
    </format>
  </formats>
  <conditionalFormats count="3">
    <conditionalFormat priority="3">
      <pivotAreas count="1">
        <pivotArea type="data" grandCol="1" collapsedLevelsAreSubtotals="1" fieldPosition="0">
          <references count="2">
            <reference field="4294967294" count="1" selected="0">
              <x v="0"/>
            </reference>
            <reference field="4" count="13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</reference>
          </references>
        </pivotArea>
      </pivotAreas>
    </conditionalFormat>
    <conditionalFormat priority="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1" selected="0">
              <x v="1"/>
            </reference>
            <reference field="4" count="13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</reference>
          </references>
        </pivotArea>
      </pivotAreas>
    </conditionalFormat>
    <conditionalFormat priority="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3" count="1" selected="0">
              <x v="0"/>
            </reference>
            <reference field="4" count="13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</reference>
          </references>
        </pivotArea>
      </pivotAreas>
    </conditionalFormat>
  </conditional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621D259-322C-4BD0-9C6F-5128C40FB8FF}" name="data__2" displayName="data__2" ref="B2:L614" totalsRowShown="0" headerRowDxfId="52">
  <autoFilter ref="B2:L614" xr:uid="{7621D259-322C-4BD0-9C6F-5128C40FB8FF}"/>
  <sortState xmlns:xlrd2="http://schemas.microsoft.com/office/spreadsheetml/2017/richdata2" ref="B3:L614">
    <sortCondition descending="1" ref="B2:B614"/>
  </sortState>
  <tableColumns count="11">
    <tableColumn id="1" xr3:uid="{4605C454-0FD8-4C37-8850-29456160ADE7}" name="Date" dataDxfId="15"/>
    <tableColumn id="2" xr3:uid="{2DA73687-D91C-4D68-A3BF-37FC1E1FA6BF}" name="Month (old)" dataDxfId="14"/>
    <tableColumn id="3" xr3:uid="{9B58D888-CE43-4CBB-90F4-12754ECA4EE2}" name="Symbol (old)" dataDxfId="13"/>
    <tableColumn id="4" xr3:uid="{833E961B-34DB-4F22-B6DB-3D482A6B43BC}" name="Open (US$)" dataDxfId="12"/>
    <tableColumn id="5" xr3:uid="{434293AE-3033-4378-AE88-AD3A736374AD}" name="High Open (US$)" dataDxfId="11"/>
    <tableColumn id="6" xr3:uid="{1A6C3A23-4B2F-4C06-AF70-0FD6F03C61EF}" name="Low Open (US$)" dataDxfId="10"/>
    <tableColumn id="7" xr3:uid="{756D5B91-EF6C-4A43-B870-37FEDED85A02}" name="Close Open (US$)" dataDxfId="9"/>
    <tableColumn id="8" xr3:uid="{A0009437-B54C-47C6-AD0F-82CB028DCAE3}" name="Volume" dataDxfId="8"/>
    <tableColumn id="9" xr3:uid="{6674CC98-5821-43F9-B40F-9C7F3B0A23CD}" name="Month (old2)" dataDxfId="7">
      <calculatedColumnFormula>TRIM(data__2[[#This Row],[Month (old)]])</calculatedColumnFormula>
    </tableColumn>
    <tableColumn id="10" xr3:uid="{C9931E49-BC1B-48CE-A408-CA7EEDA41B44}" name="Symbol" dataDxfId="6">
      <calculatedColumnFormula>TRIM(data__2[[#This Row],[Symbol (old)]])</calculatedColumnFormula>
    </tableColumn>
    <tableColumn id="11" xr3:uid="{AAB9E3CD-01EB-447F-87B0-69A4B18A39EA}" name="Month" dataDxfId="5">
      <calculatedColumnFormula>LEFT(data__2[[#This Row],[Month (old2)]], 3)</calculatedColumnFormula>
    </tableColumn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76B2BDF-03D3-462A-BF46-2CC2752937BC}" name="Table5" displayName="Table5" ref="B2:J4" totalsRowShown="0" headerRowDxfId="53" tableBorderDxfId="84">
  <autoFilter ref="B2:J4" xr:uid="{376B2BDF-03D3-462A-BF46-2CC2752937BC}"/>
  <tableColumns count="9">
    <tableColumn id="1" xr3:uid="{9A8231EF-885B-4822-8D33-F57B44F96313}" name="Date" dataDxfId="24"/>
    <tableColumn id="2" xr3:uid="{B46301FF-7F17-4801-B910-5DFE6BAC44DF}" name="Open Open (US$)" dataDxfId="23"/>
    <tableColumn id="3" xr3:uid="{127229CD-1A0D-4CE7-B018-299184A1167F}" name="High Open (US$)" dataDxfId="22"/>
    <tableColumn id="4" xr3:uid="{36EA4411-AB97-49F5-BEC8-63F22823053E}" name="Low Open (US$)" dataDxfId="21"/>
    <tableColumn id="5" xr3:uid="{D4CA0558-9A1E-428B-989A-986D4EE9D356}" name="Close Open (US$)" dataDxfId="20"/>
    <tableColumn id="6" xr3:uid="{39208B64-4D51-468E-9861-4A913DF8FA28}" name="Volume" dataDxfId="19"/>
    <tableColumn id="7" xr3:uid="{CCFD1B3E-8284-4D8A-842E-57C25BEE9414}" name="Symbol" dataDxfId="18"/>
    <tableColumn id="8" xr3:uid="{AC70E595-DC9B-4304-85A0-E4459B3D0BB1}" name="Month" dataDxfId="17"/>
    <tableColumn id="9" xr3:uid="{B10555FD-31E8-448D-8988-6C662EE539EA}" name="Notes" dataDxfId="16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4253226-07FA-4841-B124-58063E6FE347}" name="Table2" displayName="Table2" ref="B2:I4" totalsRowShown="0">
  <autoFilter ref="B2:I4" xr:uid="{B4253226-07FA-4841-B124-58063E6FE347}"/>
  <tableColumns count="8">
    <tableColumn id="1" xr3:uid="{AC817450-6048-4EC5-8AE0-F18B6CD482F7}" name="Symbol" dataDxfId="32">
      <calculatedColumnFormula array="1">BTUSD</calculatedColumnFormula>
    </tableColumn>
    <tableColumn id="2" xr3:uid="{996EA5CB-7BDE-4492-87B3-2BAD9B9B9405}" name="First open date" dataDxfId="31">
      <calculatedColumnFormula>MIN(Data!B:B)</calculatedColumnFormula>
    </tableColumn>
    <tableColumn id="3" xr3:uid="{DC1CCC97-0DCA-4CB3-8750-C88B3BC0BC01}" name="Last close date" dataDxfId="30">
      <calculatedColumnFormula>MAX(Data!B:B)</calculatedColumnFormula>
    </tableColumn>
    <tableColumn id="5" xr3:uid="{346803B0-35DA-493C-AA48-35B05D7DEC7F}" name="First open (US$)" dataDxfId="29">
      <calculatedColumnFormula array="1">INDEX(Data!E:E, MATCH(1, (Table2[[#This Row],[First open date]]=Data!B:B)*(Table2[[#This Row],[Symbol]]=Data!K:K), 0))</calculatedColumnFormula>
    </tableColumn>
    <tableColumn id="4" xr3:uid="{726B3285-41F0-4037-88AD-40E3CE24A38E}" name="Last close (US$)" dataDxfId="28">
      <calculatedColumnFormula array="1">INDEX(Data!H:H, MATCH(1, (Table2[[#This Row],[Last close date]]=Data!B:B)*(Table2[[#This Row],[Symbol]]=Data!K:K), 0))</calculatedColumnFormula>
    </tableColumn>
    <tableColumn id="6" xr3:uid="{D919D6EE-71F0-48CA-9404-C61F73AFE656}" name="First open" dataDxfId="27">
      <calculatedColumnFormula>100%</calculatedColumnFormula>
    </tableColumn>
    <tableColumn id="7" xr3:uid="{41F1952D-1A51-4F2A-8C45-28EB9AAE042F}" name="Last close" dataDxfId="26">
      <calculatedColumnFormula>Table2[[#This Row],[Last close (US$)]]/Table2[[#This Row],[First open (US$)]]</calculatedColumnFormula>
    </tableColumn>
    <tableColumn id="8" xr3:uid="{AEBD6717-60D0-4A9E-A47C-9C279330404C}" name="Change" dataDxfId="25">
      <calculatedColumnFormula>Table2[[#This Row],[Last close]]-Table2[[#This Row],[First open]]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9AE9FDC-E9A1-445C-8541-E5A8F89BD070}" name="Table3" displayName="Table3" ref="B2:F4" totalsRowShown="0" headerRowDxfId="51">
  <autoFilter ref="B2:F4" xr:uid="{B9AE9FDC-E9A1-445C-8541-E5A8F89BD070}"/>
  <tableColumns count="5">
    <tableColumn id="1" xr3:uid="{01AFC107-8EB7-4962-9ACD-517C662C01B3}" name="Symbol" dataDxfId="4"/>
    <tableColumn id="2" xr3:uid="{A09465B4-7362-4CC5-9254-58659855F942}" name="Smallest low (US$)" dataDxfId="3">
      <calculatedColumnFormula array="1">MIN(IF(Data!K:K=Table3[[#This Row],[Symbol]],Data!G:G))</calculatedColumnFormula>
    </tableColumn>
    <tableColumn id="3" xr3:uid="{D587913B-9437-46CD-80EE-48F201F4BABE}" name="Largest high (US$)" dataDxfId="2">
      <calculatedColumnFormula array="1">MAX(IF(Data!K:K=Table3[[#This Row],[Symbol]],Data!F:F))</calculatedColumnFormula>
    </tableColumn>
    <tableColumn id="4" xr3:uid="{23D4A666-533B-474A-8DE3-64E713AFC248}" name="Smallest low" dataDxfId="1">
      <calculatedColumnFormula>Table3[[#This Row],[Smallest low (US$)]]/Table3[[#This Row],[Largest high (US$)]]</calculatedColumnFormula>
    </tableColumn>
    <tableColumn id="5" xr3:uid="{E2035036-8C31-4247-B86D-A60FE2F4A573}" name="Largest high" dataDxfId="0">
      <calculatedColumnFormula>100%</calculatedColumnFormula>
    </tableColumn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7E817-CF36-4C05-93A2-761A94E35E3C}">
  <dimension ref="A2:L614"/>
  <sheetViews>
    <sheetView workbookViewId="0">
      <selection activeCell="B5" sqref="B3:L614"/>
    </sheetView>
  </sheetViews>
  <sheetFormatPr defaultRowHeight="15.75" x14ac:dyDescent="0.25"/>
  <cols>
    <col min="1" max="1" width="9" style="1" customWidth="1"/>
    <col min="2" max="2" width="10.125" style="2" bestFit="1" customWidth="1"/>
    <col min="3" max="3" width="13.25" style="2" hidden="1" customWidth="1"/>
    <col min="4" max="4" width="13.75" style="2" hidden="1" customWidth="1"/>
    <col min="5" max="5" width="12.5" style="2" bestFit="1" customWidth="1"/>
    <col min="6" max="6" width="17" style="2" bestFit="1" customWidth="1"/>
    <col min="7" max="7" width="16.625" bestFit="1" customWidth="1"/>
    <col min="8" max="8" width="17.5" bestFit="1" customWidth="1"/>
    <col min="9" max="9" width="14.5" bestFit="1" customWidth="1"/>
    <col min="10" max="10" width="14.25" hidden="1" customWidth="1"/>
    <col min="11" max="11" width="9.25" bestFit="1" customWidth="1"/>
    <col min="12" max="12" width="8.75" bestFit="1" customWidth="1"/>
  </cols>
  <sheetData>
    <row r="2" spans="2:12" x14ac:dyDescent="0.25">
      <c r="B2" s="18" t="s">
        <v>0</v>
      </c>
      <c r="C2" s="19" t="s">
        <v>29</v>
      </c>
      <c r="D2" s="19" t="s">
        <v>30</v>
      </c>
      <c r="E2" s="11" t="s">
        <v>409</v>
      </c>
      <c r="F2" s="11" t="s">
        <v>410</v>
      </c>
      <c r="G2" s="11" t="s">
        <v>411</v>
      </c>
      <c r="H2" s="11" t="s">
        <v>412</v>
      </c>
      <c r="I2" s="11" t="s">
        <v>3</v>
      </c>
      <c r="J2" s="19" t="s">
        <v>31</v>
      </c>
      <c r="K2" s="19" t="s">
        <v>2</v>
      </c>
      <c r="L2" s="19" t="s">
        <v>1</v>
      </c>
    </row>
    <row r="3" spans="2:12" x14ac:dyDescent="0.25">
      <c r="B3" s="33">
        <v>44561</v>
      </c>
      <c r="C3" s="34" t="s">
        <v>28</v>
      </c>
      <c r="D3" s="34" t="s">
        <v>18</v>
      </c>
      <c r="E3" s="13">
        <v>477521</v>
      </c>
      <c r="F3" s="13">
        <v>478683</v>
      </c>
      <c r="G3" s="13">
        <v>476575</v>
      </c>
      <c r="H3" s="13">
        <v>476618</v>
      </c>
      <c r="I3" s="13">
        <v>244619000000</v>
      </c>
      <c r="J3" s="35" t="str">
        <f>TRIM(data__2[[#This Row],[Month (old)]])</f>
        <v>December</v>
      </c>
      <c r="K3" s="35" t="str">
        <f>TRIM(data__2[[#This Row],[Symbol (old)]])</f>
        <v>SP500</v>
      </c>
      <c r="L3" s="36" t="str">
        <f>LEFT(data__2[[#This Row],[Month (old2)]], 3)</f>
        <v>Dec</v>
      </c>
    </row>
    <row r="4" spans="2:12" x14ac:dyDescent="0.25">
      <c r="B4" s="33">
        <v>44561</v>
      </c>
      <c r="C4" s="34" t="s">
        <v>16</v>
      </c>
      <c r="D4" s="34" t="s">
        <v>5</v>
      </c>
      <c r="E4" s="13">
        <v>4720799</v>
      </c>
      <c r="F4" s="13">
        <v>4857835</v>
      </c>
      <c r="G4" s="13">
        <v>4564111</v>
      </c>
      <c r="H4" s="13">
        <v>4680683</v>
      </c>
      <c r="I4" s="13">
        <v>159171</v>
      </c>
      <c r="J4" s="35" t="str">
        <f>TRIM(data__2[[#This Row],[Month (old)]])</f>
        <v>Dec</v>
      </c>
      <c r="K4" s="35" t="str">
        <f>TRIM(data__2[[#This Row],[Symbol (old)]])</f>
        <v>BTCUSD</v>
      </c>
      <c r="L4" s="36" t="str">
        <f>LEFT(data__2[[#This Row],[Month (old2)]], 3)</f>
        <v>Dec</v>
      </c>
    </row>
    <row r="5" spans="2:12" x14ac:dyDescent="0.25">
      <c r="B5" s="33">
        <v>44560</v>
      </c>
      <c r="C5" s="34" t="s">
        <v>28</v>
      </c>
      <c r="D5" s="34" t="s">
        <v>18</v>
      </c>
      <c r="E5" s="13">
        <v>479423</v>
      </c>
      <c r="F5" s="13">
        <v>480893</v>
      </c>
      <c r="G5" s="13">
        <v>477533</v>
      </c>
      <c r="H5" s="13">
        <v>477873</v>
      </c>
      <c r="I5" s="13">
        <v>239099000000</v>
      </c>
      <c r="J5" s="35" t="str">
        <f>TRIM(data__2[[#This Row],[Month (old)]])</f>
        <v>December</v>
      </c>
      <c r="K5" s="35" t="str">
        <f>TRIM(data__2[[#This Row],[Symbol (old)]])</f>
        <v>SP500</v>
      </c>
      <c r="L5" s="36" t="str">
        <f>LEFT(data__2[[#This Row],[Month (old2)]], 3)</f>
        <v>Dec</v>
      </c>
    </row>
    <row r="6" spans="2:12" x14ac:dyDescent="0.25">
      <c r="B6" s="33">
        <v>44560</v>
      </c>
      <c r="C6" s="34" t="s">
        <v>16</v>
      </c>
      <c r="D6" s="34" t="s">
        <v>5</v>
      </c>
      <c r="E6" s="13">
        <v>4650244</v>
      </c>
      <c r="F6" s="13">
        <v>4794930</v>
      </c>
      <c r="G6" s="13">
        <v>4649619</v>
      </c>
      <c r="H6" s="13">
        <v>4720799</v>
      </c>
      <c r="I6" s="13">
        <v>99841</v>
      </c>
      <c r="J6" s="35" t="str">
        <f>TRIM(data__2[[#This Row],[Month (old)]])</f>
        <v>Dec</v>
      </c>
      <c r="K6" s="35" t="str">
        <f>TRIM(data__2[[#This Row],[Symbol (old)]])</f>
        <v>BTCUSD</v>
      </c>
      <c r="L6" s="36" t="str">
        <f>LEFT(data__2[[#This Row],[Month (old2)]], 3)</f>
        <v>Dec</v>
      </c>
    </row>
    <row r="7" spans="2:12" x14ac:dyDescent="0.25">
      <c r="B7" s="33">
        <v>44559</v>
      </c>
      <c r="C7" s="34" t="s">
        <v>28</v>
      </c>
      <c r="D7" s="34" t="s">
        <v>18</v>
      </c>
      <c r="E7" s="13">
        <v>478864</v>
      </c>
      <c r="F7" s="13">
        <v>480406</v>
      </c>
      <c r="G7" s="13">
        <v>477808</v>
      </c>
      <c r="H7" s="13">
        <v>479306</v>
      </c>
      <c r="I7" s="13">
        <v>236937000000</v>
      </c>
      <c r="J7" s="35" t="str">
        <f>TRIM(data__2[[#This Row],[Month (old)]])</f>
        <v>December</v>
      </c>
      <c r="K7" s="35" t="str">
        <f>TRIM(data__2[[#This Row],[Symbol (old)]])</f>
        <v>SP500</v>
      </c>
      <c r="L7" s="36" t="str">
        <f>LEFT(data__2[[#This Row],[Month (old2)]], 3)</f>
        <v>Dec</v>
      </c>
    </row>
    <row r="8" spans="2:12" x14ac:dyDescent="0.25">
      <c r="B8" s="33">
        <v>44559</v>
      </c>
      <c r="C8" s="34" t="s">
        <v>16</v>
      </c>
      <c r="D8" s="34" t="s">
        <v>5</v>
      </c>
      <c r="E8" s="13">
        <v>4801793</v>
      </c>
      <c r="F8" s="13">
        <v>4807597</v>
      </c>
      <c r="G8" s="13">
        <v>4594530</v>
      </c>
      <c r="H8" s="13">
        <v>4650244</v>
      </c>
      <c r="I8" s="13">
        <v>111963</v>
      </c>
      <c r="J8" s="35" t="str">
        <f>TRIM(data__2[[#This Row],[Month (old)]])</f>
        <v>Dec</v>
      </c>
      <c r="K8" s="35" t="str">
        <f>TRIM(data__2[[#This Row],[Symbol (old)]])</f>
        <v>BTCUSD</v>
      </c>
      <c r="L8" s="36" t="str">
        <f>LEFT(data__2[[#This Row],[Month (old2)]], 3)</f>
        <v>Dec</v>
      </c>
    </row>
    <row r="9" spans="2:12" x14ac:dyDescent="0.25">
      <c r="B9" s="33">
        <v>44558</v>
      </c>
      <c r="C9" s="34" t="s">
        <v>28</v>
      </c>
      <c r="D9" s="34" t="s">
        <v>18</v>
      </c>
      <c r="E9" s="13">
        <v>479549</v>
      </c>
      <c r="F9" s="13">
        <v>480702</v>
      </c>
      <c r="G9" s="13">
        <v>478004</v>
      </c>
      <c r="H9" s="13">
        <v>478635</v>
      </c>
      <c r="I9" s="13">
        <v>221705000000</v>
      </c>
      <c r="J9" s="35" t="str">
        <f>TRIM(data__2[[#This Row],[Month (old)]])</f>
        <v>December</v>
      </c>
      <c r="K9" s="35" t="str">
        <f>TRIM(data__2[[#This Row],[Symbol (old)]])</f>
        <v>SP500</v>
      </c>
      <c r="L9" s="36" t="str">
        <f>LEFT(data__2[[#This Row],[Month (old2)]], 3)</f>
        <v>Dec</v>
      </c>
    </row>
    <row r="10" spans="2:12" x14ac:dyDescent="0.25">
      <c r="B10" s="33">
        <v>44558</v>
      </c>
      <c r="C10" s="34" t="s">
        <v>16</v>
      </c>
      <c r="D10" s="34" t="s">
        <v>5</v>
      </c>
      <c r="E10" s="13">
        <v>4982179</v>
      </c>
      <c r="F10" s="13">
        <v>4983468</v>
      </c>
      <c r="G10" s="13">
        <v>4732297</v>
      </c>
      <c r="H10" s="13">
        <v>4801793</v>
      </c>
      <c r="I10" s="13">
        <v>127501</v>
      </c>
      <c r="J10" s="35" t="str">
        <f>TRIM(data__2[[#This Row],[Month (old)]])</f>
        <v>Dec</v>
      </c>
      <c r="K10" s="35" t="str">
        <f>TRIM(data__2[[#This Row],[Symbol (old)]])</f>
        <v>BTCUSD</v>
      </c>
      <c r="L10" s="36" t="str">
        <f>LEFT(data__2[[#This Row],[Month (old2)]], 3)</f>
        <v>Dec</v>
      </c>
    </row>
    <row r="11" spans="2:12" x14ac:dyDescent="0.25">
      <c r="B11" s="33">
        <v>44557</v>
      </c>
      <c r="C11" s="34" t="s">
        <v>28</v>
      </c>
      <c r="D11" s="34" t="s">
        <v>18</v>
      </c>
      <c r="E11" s="13">
        <v>473399</v>
      </c>
      <c r="F11" s="13">
        <v>479149</v>
      </c>
      <c r="G11" s="13">
        <v>473399</v>
      </c>
      <c r="H11" s="13">
        <v>479119</v>
      </c>
      <c r="I11" s="13">
        <v>226412000000</v>
      </c>
      <c r="J11" s="35" t="str">
        <f>TRIM(data__2[[#This Row],[Month (old)]])</f>
        <v>December</v>
      </c>
      <c r="K11" s="35" t="str">
        <f>TRIM(data__2[[#This Row],[Symbol (old)]])</f>
        <v>SP500</v>
      </c>
      <c r="L11" s="36" t="str">
        <f>LEFT(data__2[[#This Row],[Month (old2)]], 3)</f>
        <v>Dec</v>
      </c>
    </row>
    <row r="12" spans="2:12" x14ac:dyDescent="0.25">
      <c r="B12" s="33">
        <v>44557</v>
      </c>
      <c r="C12" s="34" t="s">
        <v>16</v>
      </c>
      <c r="D12" s="34" t="s">
        <v>5</v>
      </c>
      <c r="E12" s="13">
        <v>5103612</v>
      </c>
      <c r="F12" s="13">
        <v>5210493</v>
      </c>
      <c r="G12" s="13">
        <v>4950947</v>
      </c>
      <c r="H12" s="13">
        <v>4982179</v>
      </c>
      <c r="I12" s="13">
        <v>89604</v>
      </c>
      <c r="J12" s="35" t="str">
        <f>TRIM(data__2[[#This Row],[Month (old)]])</f>
        <v>Dec</v>
      </c>
      <c r="K12" s="35" t="str">
        <f>TRIM(data__2[[#This Row],[Symbol (old)]])</f>
        <v>BTCUSD</v>
      </c>
      <c r="L12" s="36" t="str">
        <f>LEFT(data__2[[#This Row],[Month (old2)]], 3)</f>
        <v>Dec</v>
      </c>
    </row>
    <row r="13" spans="2:12" x14ac:dyDescent="0.25">
      <c r="B13" s="33">
        <v>44556</v>
      </c>
      <c r="C13" s="34" t="s">
        <v>16</v>
      </c>
      <c r="D13" s="34" t="s">
        <v>5</v>
      </c>
      <c r="E13" s="13">
        <v>4970521</v>
      </c>
      <c r="F13" s="13">
        <v>5129426</v>
      </c>
      <c r="G13" s="13">
        <v>4946066</v>
      </c>
      <c r="H13" s="13">
        <v>5103612</v>
      </c>
      <c r="I13" s="13">
        <v>48924</v>
      </c>
      <c r="J13" s="35" t="str">
        <f>TRIM(data__2[[#This Row],[Month (old)]])</f>
        <v>Dec</v>
      </c>
      <c r="K13" s="35" t="str">
        <f>TRIM(data__2[[#This Row],[Symbol (old)]])</f>
        <v>BTCUSD</v>
      </c>
      <c r="L13" s="36" t="str">
        <f>LEFT(data__2[[#This Row],[Month (old2)]], 3)</f>
        <v>Dec</v>
      </c>
    </row>
    <row r="14" spans="2:12" x14ac:dyDescent="0.25">
      <c r="B14" s="33">
        <v>44555</v>
      </c>
      <c r="C14" s="34" t="s">
        <v>16</v>
      </c>
      <c r="D14" s="34" t="s">
        <v>5</v>
      </c>
      <c r="E14" s="13">
        <v>5087231</v>
      </c>
      <c r="F14" s="13">
        <v>5115695</v>
      </c>
      <c r="G14" s="13">
        <v>4965665</v>
      </c>
      <c r="H14" s="13">
        <v>4970521</v>
      </c>
      <c r="I14" s="13">
        <v>40067</v>
      </c>
      <c r="J14" s="35" t="str">
        <f>TRIM(data__2[[#This Row],[Month (old)]])</f>
        <v>Dec</v>
      </c>
      <c r="K14" s="35" t="str">
        <f>TRIM(data__2[[#This Row],[Symbol (old)]])</f>
        <v>BTCUSD</v>
      </c>
      <c r="L14" s="36" t="str">
        <f>LEFT(data__2[[#This Row],[Month (old2)]], 3)</f>
        <v>Dec</v>
      </c>
    </row>
    <row r="15" spans="2:12" x14ac:dyDescent="0.25">
      <c r="B15" s="33">
        <v>44554</v>
      </c>
      <c r="C15" s="34" t="s">
        <v>16</v>
      </c>
      <c r="D15" s="34" t="s">
        <v>5</v>
      </c>
      <c r="E15" s="13">
        <v>5106784</v>
      </c>
      <c r="F15" s="13">
        <v>5186686</v>
      </c>
      <c r="G15" s="13">
        <v>5046108</v>
      </c>
      <c r="H15" s="13">
        <v>5087231</v>
      </c>
      <c r="I15" s="13">
        <v>55812</v>
      </c>
      <c r="J15" s="35" t="str">
        <f>TRIM(data__2[[#This Row],[Month (old)]])</f>
        <v>Dec</v>
      </c>
      <c r="K15" s="35" t="str">
        <f>TRIM(data__2[[#This Row],[Symbol (old)]])</f>
        <v>BTCUSD</v>
      </c>
      <c r="L15" s="36" t="str">
        <f>LEFT(data__2[[#This Row],[Month (old2)]], 3)</f>
        <v>Dec</v>
      </c>
    </row>
    <row r="16" spans="2:12" x14ac:dyDescent="0.25">
      <c r="B16" s="33">
        <v>44553</v>
      </c>
      <c r="C16" s="34" t="s">
        <v>28</v>
      </c>
      <c r="D16" s="34" t="s">
        <v>18</v>
      </c>
      <c r="E16" s="13">
        <v>470396</v>
      </c>
      <c r="F16" s="13">
        <v>474074</v>
      </c>
      <c r="G16" s="13">
        <v>470396</v>
      </c>
      <c r="H16" s="13">
        <v>472579</v>
      </c>
      <c r="I16" s="13">
        <v>219463000000</v>
      </c>
      <c r="J16" s="35" t="str">
        <f>TRIM(data__2[[#This Row],[Month (old)]])</f>
        <v>December</v>
      </c>
      <c r="K16" s="35" t="str">
        <f>TRIM(data__2[[#This Row],[Symbol (old)]])</f>
        <v>SP500</v>
      </c>
      <c r="L16" s="36" t="str">
        <f>LEFT(data__2[[#This Row],[Month (old2)]], 3)</f>
        <v>Dec</v>
      </c>
    </row>
    <row r="17" spans="2:12" x14ac:dyDescent="0.25">
      <c r="B17" s="33">
        <v>44553</v>
      </c>
      <c r="C17" s="34" t="s">
        <v>16</v>
      </c>
      <c r="D17" s="34" t="s">
        <v>5</v>
      </c>
      <c r="E17" s="13">
        <v>4854538</v>
      </c>
      <c r="F17" s="13">
        <v>5153371</v>
      </c>
      <c r="G17" s="13">
        <v>4807235</v>
      </c>
      <c r="H17" s="13">
        <v>5106784</v>
      </c>
      <c r="I17" s="13">
        <v>100126</v>
      </c>
      <c r="J17" s="35" t="str">
        <f>TRIM(data__2[[#This Row],[Month (old)]])</f>
        <v>Dec</v>
      </c>
      <c r="K17" s="35" t="str">
        <f>TRIM(data__2[[#This Row],[Symbol (old)]])</f>
        <v>BTCUSD</v>
      </c>
      <c r="L17" s="36" t="str">
        <f>LEFT(data__2[[#This Row],[Month (old2)]], 3)</f>
        <v>Dec</v>
      </c>
    </row>
    <row r="18" spans="2:12" x14ac:dyDescent="0.25">
      <c r="B18" s="33">
        <v>44552</v>
      </c>
      <c r="C18" s="34" t="s">
        <v>28</v>
      </c>
      <c r="D18" s="34" t="s">
        <v>18</v>
      </c>
      <c r="E18" s="13">
        <v>465036</v>
      </c>
      <c r="F18" s="13">
        <v>469767</v>
      </c>
      <c r="G18" s="13">
        <v>464553</v>
      </c>
      <c r="H18" s="13">
        <v>469656</v>
      </c>
      <c r="I18" s="13">
        <v>243957000000</v>
      </c>
      <c r="J18" s="35" t="str">
        <f>TRIM(data__2[[#This Row],[Month (old)]])</f>
        <v>December</v>
      </c>
      <c r="K18" s="35" t="str">
        <f>TRIM(data__2[[#This Row],[Symbol (old)]])</f>
        <v>SP500</v>
      </c>
      <c r="L18" s="36" t="str">
        <f>LEFT(data__2[[#This Row],[Month (old2)]], 3)</f>
        <v>Dec</v>
      </c>
    </row>
    <row r="19" spans="2:12" x14ac:dyDescent="0.25">
      <c r="B19" s="33">
        <v>44552</v>
      </c>
      <c r="C19" s="34" t="s">
        <v>16</v>
      </c>
      <c r="D19" s="34" t="s">
        <v>5</v>
      </c>
      <c r="E19" s="13">
        <v>4926344</v>
      </c>
      <c r="F19" s="13">
        <v>4954886</v>
      </c>
      <c r="G19" s="13">
        <v>4806336</v>
      </c>
      <c r="H19" s="13">
        <v>4854538</v>
      </c>
      <c r="I19" s="13">
        <v>72680</v>
      </c>
      <c r="J19" s="35" t="str">
        <f>TRIM(data__2[[#This Row],[Month (old)]])</f>
        <v>Dec</v>
      </c>
      <c r="K19" s="35" t="str">
        <f>TRIM(data__2[[#This Row],[Symbol (old)]])</f>
        <v>BTCUSD</v>
      </c>
      <c r="L19" s="36" t="str">
        <f>LEFT(data__2[[#This Row],[Month (old2)]], 3)</f>
        <v>Dec</v>
      </c>
    </row>
    <row r="20" spans="2:12" x14ac:dyDescent="0.25">
      <c r="B20" s="33">
        <v>44551</v>
      </c>
      <c r="C20" s="34" t="s">
        <v>28</v>
      </c>
      <c r="D20" s="34" t="s">
        <v>18</v>
      </c>
      <c r="E20" s="13">
        <v>459496</v>
      </c>
      <c r="F20" s="13">
        <v>465114</v>
      </c>
      <c r="G20" s="13">
        <v>458316</v>
      </c>
      <c r="H20" s="13">
        <v>464923</v>
      </c>
      <c r="I20" s="13">
        <v>256437000000</v>
      </c>
      <c r="J20" s="35" t="str">
        <f>TRIM(data__2[[#This Row],[Month (old)]])</f>
        <v>December</v>
      </c>
      <c r="K20" s="35" t="str">
        <f>TRIM(data__2[[#This Row],[Symbol (old)]])</f>
        <v>SP500</v>
      </c>
      <c r="L20" s="36" t="str">
        <f>LEFT(data__2[[#This Row],[Month (old2)]], 3)</f>
        <v>Dec</v>
      </c>
    </row>
    <row r="21" spans="2:12" x14ac:dyDescent="0.25">
      <c r="B21" s="33">
        <v>44551</v>
      </c>
      <c r="C21" s="34" t="s">
        <v>16</v>
      </c>
      <c r="D21" s="34" t="s">
        <v>5</v>
      </c>
      <c r="E21" s="13">
        <v>4795456</v>
      </c>
      <c r="F21" s="13">
        <v>4959811</v>
      </c>
      <c r="G21" s="13">
        <v>4794807</v>
      </c>
      <c r="H21" s="13">
        <v>4926344</v>
      </c>
      <c r="I21" s="13">
        <v>123589</v>
      </c>
      <c r="J21" s="35" t="str">
        <f>TRIM(data__2[[#This Row],[Month (old)]])</f>
        <v>Dec</v>
      </c>
      <c r="K21" s="35" t="str">
        <f>TRIM(data__2[[#This Row],[Symbol (old)]])</f>
        <v>BTCUSD</v>
      </c>
      <c r="L21" s="36" t="str">
        <f>LEFT(data__2[[#This Row],[Month (old2)]], 3)</f>
        <v>Dec</v>
      </c>
    </row>
    <row r="22" spans="2:12" x14ac:dyDescent="0.25">
      <c r="B22" s="33">
        <v>44550</v>
      </c>
      <c r="C22" s="34" t="s">
        <v>28</v>
      </c>
      <c r="D22" s="34" t="s">
        <v>18</v>
      </c>
      <c r="E22" s="13">
        <v>458790</v>
      </c>
      <c r="F22" s="13">
        <v>458790</v>
      </c>
      <c r="G22" s="13">
        <v>453110</v>
      </c>
      <c r="H22" s="13">
        <v>456802</v>
      </c>
      <c r="I22" s="13">
        <v>339578000000</v>
      </c>
      <c r="J22" s="35" t="str">
        <f>TRIM(data__2[[#This Row],[Month (old)]])</f>
        <v>December</v>
      </c>
      <c r="K22" s="35" t="str">
        <f>TRIM(data__2[[#This Row],[Symbol (old)]])</f>
        <v>SP500</v>
      </c>
      <c r="L22" s="36" t="str">
        <f>LEFT(data__2[[#This Row],[Month (old2)]], 3)</f>
        <v>Dec</v>
      </c>
    </row>
    <row r="23" spans="2:12" x14ac:dyDescent="0.25">
      <c r="B23" s="33">
        <v>44550</v>
      </c>
      <c r="C23" s="34" t="s">
        <v>16</v>
      </c>
      <c r="D23" s="34" t="s">
        <v>5</v>
      </c>
      <c r="E23" s="13">
        <v>4670908</v>
      </c>
      <c r="F23" s="13">
        <v>4808261</v>
      </c>
      <c r="G23" s="13">
        <v>4557918</v>
      </c>
      <c r="H23" s="13">
        <v>4795456</v>
      </c>
      <c r="I23" s="13">
        <v>95470</v>
      </c>
      <c r="J23" s="35" t="str">
        <f>TRIM(data__2[[#This Row],[Month (old)]])</f>
        <v>Dec</v>
      </c>
      <c r="K23" s="35" t="str">
        <f>TRIM(data__2[[#This Row],[Symbol (old)]])</f>
        <v>BTCUSD</v>
      </c>
      <c r="L23" s="36" t="str">
        <f>LEFT(data__2[[#This Row],[Month (old2)]], 3)</f>
        <v>Dec</v>
      </c>
    </row>
    <row r="24" spans="2:12" x14ac:dyDescent="0.25">
      <c r="B24" s="33">
        <v>44549</v>
      </c>
      <c r="C24" s="34" t="s">
        <v>16</v>
      </c>
      <c r="D24" s="34" t="s">
        <v>5</v>
      </c>
      <c r="E24" s="13">
        <v>4774599</v>
      </c>
      <c r="F24" s="13">
        <v>4830622</v>
      </c>
      <c r="G24" s="13">
        <v>4625500</v>
      </c>
      <c r="H24" s="13">
        <v>4670908</v>
      </c>
      <c r="I24" s="13">
        <v>67052</v>
      </c>
      <c r="J24" s="35" t="str">
        <f>TRIM(data__2[[#This Row],[Month (old)]])</f>
        <v>Dec</v>
      </c>
      <c r="K24" s="35" t="str">
        <f>TRIM(data__2[[#This Row],[Symbol (old)]])</f>
        <v>BTCUSD</v>
      </c>
      <c r="L24" s="36" t="str">
        <f>LEFT(data__2[[#This Row],[Month (old2)]], 3)</f>
        <v>Dec</v>
      </c>
    </row>
    <row r="25" spans="2:12" x14ac:dyDescent="0.25">
      <c r="B25" s="33">
        <v>44548</v>
      </c>
      <c r="C25" s="34" t="s">
        <v>16</v>
      </c>
      <c r="D25" s="34" t="s">
        <v>5</v>
      </c>
      <c r="E25" s="13">
        <v>4631219</v>
      </c>
      <c r="F25" s="13">
        <v>4798093</v>
      </c>
      <c r="G25" s="13">
        <v>4610000</v>
      </c>
      <c r="H25" s="13">
        <v>4774599</v>
      </c>
      <c r="I25" s="13">
        <v>50098</v>
      </c>
      <c r="J25" s="35" t="str">
        <f>TRIM(data__2[[#This Row],[Month (old)]])</f>
        <v>Dec</v>
      </c>
      <c r="K25" s="35" t="str">
        <f>TRIM(data__2[[#This Row],[Symbol (old)]])</f>
        <v>BTCUSD</v>
      </c>
      <c r="L25" s="36" t="str">
        <f>LEFT(data__2[[#This Row],[Month (old2)]], 3)</f>
        <v>Dec</v>
      </c>
    </row>
    <row r="26" spans="2:12" x14ac:dyDescent="0.25">
      <c r="B26" s="33">
        <v>44547</v>
      </c>
      <c r="C26" s="34" t="s">
        <v>28</v>
      </c>
      <c r="D26" s="34" t="s">
        <v>18</v>
      </c>
      <c r="E26" s="13">
        <v>465250</v>
      </c>
      <c r="F26" s="13">
        <v>466670</v>
      </c>
      <c r="G26" s="13">
        <v>460022</v>
      </c>
      <c r="H26" s="13">
        <v>462064</v>
      </c>
      <c r="I26" s="13">
        <v>560978000000</v>
      </c>
      <c r="J26" s="35" t="str">
        <f>TRIM(data__2[[#This Row],[Month (old)]])</f>
        <v>December</v>
      </c>
      <c r="K26" s="35" t="str">
        <f>TRIM(data__2[[#This Row],[Symbol (old)]])</f>
        <v>SP500</v>
      </c>
      <c r="L26" s="36" t="str">
        <f>LEFT(data__2[[#This Row],[Month (old2)]], 3)</f>
        <v>Dec</v>
      </c>
    </row>
    <row r="27" spans="2:12" x14ac:dyDescent="0.25">
      <c r="B27" s="33">
        <v>44547</v>
      </c>
      <c r="C27" s="34" t="s">
        <v>16</v>
      </c>
      <c r="D27" s="34" t="s">
        <v>5</v>
      </c>
      <c r="E27" s="13">
        <v>4777980</v>
      </c>
      <c r="F27" s="13">
        <v>4819413</v>
      </c>
      <c r="G27" s="13">
        <v>4546396</v>
      </c>
      <c r="H27" s="13">
        <v>4631219</v>
      </c>
      <c r="I27" s="13">
        <v>129410</v>
      </c>
      <c r="J27" s="35" t="str">
        <f>TRIM(data__2[[#This Row],[Month (old)]])</f>
        <v>Dec</v>
      </c>
      <c r="K27" s="35" t="str">
        <f>TRIM(data__2[[#This Row],[Symbol (old)]])</f>
        <v>BTCUSD</v>
      </c>
      <c r="L27" s="36" t="str">
        <f>LEFT(data__2[[#This Row],[Month (old2)]], 3)</f>
        <v>Dec</v>
      </c>
    </row>
    <row r="28" spans="2:12" x14ac:dyDescent="0.25">
      <c r="B28" s="33">
        <v>44546</v>
      </c>
      <c r="C28" s="34" t="s">
        <v>28</v>
      </c>
      <c r="D28" s="34" t="s">
        <v>18</v>
      </c>
      <c r="E28" s="13">
        <v>471913</v>
      </c>
      <c r="F28" s="13">
        <v>473199</v>
      </c>
      <c r="G28" s="13">
        <v>465189</v>
      </c>
      <c r="H28" s="13">
        <v>466867</v>
      </c>
      <c r="I28" s="13">
        <v>359281000000</v>
      </c>
      <c r="J28" s="35" t="str">
        <f>TRIM(data__2[[#This Row],[Month (old)]])</f>
        <v>December</v>
      </c>
      <c r="K28" s="35" t="str">
        <f>TRIM(data__2[[#This Row],[Symbol (old)]])</f>
        <v>SP500</v>
      </c>
      <c r="L28" s="36" t="str">
        <f>LEFT(data__2[[#This Row],[Month (old2)]], 3)</f>
        <v>Dec</v>
      </c>
    </row>
    <row r="29" spans="2:12" x14ac:dyDescent="0.25">
      <c r="B29" s="33">
        <v>44546</v>
      </c>
      <c r="C29" s="34" t="s">
        <v>16</v>
      </c>
      <c r="D29" s="34" t="s">
        <v>5</v>
      </c>
      <c r="E29" s="13">
        <v>4883859</v>
      </c>
      <c r="F29" s="13">
        <v>4946629</v>
      </c>
      <c r="G29" s="13">
        <v>4743815</v>
      </c>
      <c r="H29" s="13">
        <v>4777980</v>
      </c>
      <c r="I29" s="13">
        <v>88167</v>
      </c>
      <c r="J29" s="35" t="str">
        <f>TRIM(data__2[[#This Row],[Month (old)]])</f>
        <v>Dec</v>
      </c>
      <c r="K29" s="35" t="str">
        <f>TRIM(data__2[[#This Row],[Symbol (old)]])</f>
        <v>BTCUSD</v>
      </c>
      <c r="L29" s="36" t="str">
        <f>LEFT(data__2[[#This Row],[Month (old2)]], 3)</f>
        <v>Dec</v>
      </c>
    </row>
    <row r="30" spans="2:12" x14ac:dyDescent="0.25">
      <c r="B30" s="33">
        <v>44545</v>
      </c>
      <c r="C30" s="34" t="s">
        <v>28</v>
      </c>
      <c r="D30" s="34" t="s">
        <v>18</v>
      </c>
      <c r="E30" s="13">
        <v>463646</v>
      </c>
      <c r="F30" s="13">
        <v>471260</v>
      </c>
      <c r="G30" s="13">
        <v>461122</v>
      </c>
      <c r="H30" s="13">
        <v>470985</v>
      </c>
      <c r="I30" s="13">
        <v>336758000000</v>
      </c>
      <c r="J30" s="35" t="str">
        <f>TRIM(data__2[[#This Row],[Month (old)]])</f>
        <v>December</v>
      </c>
      <c r="K30" s="35" t="str">
        <f>TRIM(data__2[[#This Row],[Symbol (old)]])</f>
        <v>SP500</v>
      </c>
      <c r="L30" s="36" t="str">
        <f>LEFT(data__2[[#This Row],[Month (old2)]], 3)</f>
        <v>Dec</v>
      </c>
    </row>
    <row r="31" spans="2:12" x14ac:dyDescent="0.25">
      <c r="B31" s="33">
        <v>44545</v>
      </c>
      <c r="C31" s="34" t="s">
        <v>16</v>
      </c>
      <c r="D31" s="34" t="s">
        <v>5</v>
      </c>
      <c r="E31" s="13">
        <v>4828050</v>
      </c>
      <c r="F31" s="13">
        <v>4950000</v>
      </c>
      <c r="G31" s="13">
        <v>4653900</v>
      </c>
      <c r="H31" s="13">
        <v>4883859</v>
      </c>
      <c r="I31" s="13">
        <v>168417</v>
      </c>
      <c r="J31" s="35" t="str">
        <f>TRIM(data__2[[#This Row],[Month (old)]])</f>
        <v>Dec</v>
      </c>
      <c r="K31" s="35" t="str">
        <f>TRIM(data__2[[#This Row],[Symbol (old)]])</f>
        <v>BTCUSD</v>
      </c>
      <c r="L31" s="36" t="str">
        <f>LEFT(data__2[[#This Row],[Month (old2)]], 3)</f>
        <v>Dec</v>
      </c>
    </row>
    <row r="32" spans="2:12" x14ac:dyDescent="0.25">
      <c r="B32" s="33">
        <v>44544</v>
      </c>
      <c r="C32" s="34" t="s">
        <v>28</v>
      </c>
      <c r="D32" s="34" t="s">
        <v>18</v>
      </c>
      <c r="E32" s="13">
        <v>464299</v>
      </c>
      <c r="F32" s="13">
        <v>466047</v>
      </c>
      <c r="G32" s="13">
        <v>460652</v>
      </c>
      <c r="H32" s="13">
        <v>463409</v>
      </c>
      <c r="I32" s="13">
        <v>329274000000</v>
      </c>
      <c r="J32" s="35" t="str">
        <f>TRIM(data__2[[#This Row],[Month (old)]])</f>
        <v>December</v>
      </c>
      <c r="K32" s="35" t="str">
        <f>TRIM(data__2[[#This Row],[Symbol (old)]])</f>
        <v>SP500</v>
      </c>
      <c r="L32" s="36" t="str">
        <f>LEFT(data__2[[#This Row],[Month (old2)]], 3)</f>
        <v>Dec</v>
      </c>
    </row>
    <row r="33" spans="2:12" x14ac:dyDescent="0.25">
      <c r="B33" s="33">
        <v>44544</v>
      </c>
      <c r="C33" s="34" t="s">
        <v>16</v>
      </c>
      <c r="D33" s="34" t="s">
        <v>5</v>
      </c>
      <c r="E33" s="13">
        <v>4696847</v>
      </c>
      <c r="F33" s="13">
        <v>4878428</v>
      </c>
      <c r="G33" s="13">
        <v>4635000</v>
      </c>
      <c r="H33" s="13">
        <v>4828050</v>
      </c>
      <c r="I33" s="13">
        <v>102612</v>
      </c>
      <c r="J33" s="35" t="str">
        <f>TRIM(data__2[[#This Row],[Month (old)]])</f>
        <v>Dec</v>
      </c>
      <c r="K33" s="35" t="str">
        <f>TRIM(data__2[[#This Row],[Symbol (old)]])</f>
        <v>BTCUSD</v>
      </c>
      <c r="L33" s="36" t="str">
        <f>LEFT(data__2[[#This Row],[Month (old2)]], 3)</f>
        <v>Dec</v>
      </c>
    </row>
    <row r="34" spans="2:12" x14ac:dyDescent="0.25">
      <c r="B34" s="33">
        <v>44543</v>
      </c>
      <c r="C34" s="34" t="s">
        <v>28</v>
      </c>
      <c r="D34" s="34" t="s">
        <v>18</v>
      </c>
      <c r="E34" s="13">
        <v>471030</v>
      </c>
      <c r="F34" s="13">
        <v>471030</v>
      </c>
      <c r="G34" s="13">
        <v>466760</v>
      </c>
      <c r="H34" s="13">
        <v>466897</v>
      </c>
      <c r="I34" s="13">
        <v>332205000000</v>
      </c>
      <c r="J34" s="35" t="str">
        <f>TRIM(data__2[[#This Row],[Month (old)]])</f>
        <v>December</v>
      </c>
      <c r="K34" s="35" t="str">
        <f>TRIM(data__2[[#This Row],[Symbol (old)]])</f>
        <v>SP500</v>
      </c>
      <c r="L34" s="36" t="str">
        <f>LEFT(data__2[[#This Row],[Month (old2)]], 3)</f>
        <v>Dec</v>
      </c>
    </row>
    <row r="35" spans="2:12" x14ac:dyDescent="0.25">
      <c r="B35" s="33">
        <v>44543</v>
      </c>
      <c r="C35" s="34" t="s">
        <v>16</v>
      </c>
      <c r="D35" s="34" t="s">
        <v>5</v>
      </c>
      <c r="E35" s="13">
        <v>4889975</v>
      </c>
      <c r="F35" s="13">
        <v>4934869</v>
      </c>
      <c r="G35" s="13">
        <v>4561884</v>
      </c>
      <c r="H35" s="13">
        <v>4696847</v>
      </c>
      <c r="I35" s="13">
        <v>174904</v>
      </c>
      <c r="J35" s="35" t="str">
        <f>TRIM(data__2[[#This Row],[Month (old)]])</f>
        <v>Dec</v>
      </c>
      <c r="K35" s="35" t="str">
        <f>TRIM(data__2[[#This Row],[Symbol (old)]])</f>
        <v>BTCUSD</v>
      </c>
      <c r="L35" s="36" t="str">
        <f>LEFT(data__2[[#This Row],[Month (old2)]], 3)</f>
        <v>Dec</v>
      </c>
    </row>
    <row r="36" spans="2:12" x14ac:dyDescent="0.25">
      <c r="B36" s="33">
        <v>44542</v>
      </c>
      <c r="C36" s="34" t="s">
        <v>16</v>
      </c>
      <c r="D36" s="34" t="s">
        <v>5</v>
      </c>
      <c r="E36" s="13">
        <v>4933366</v>
      </c>
      <c r="F36" s="13">
        <v>5080848</v>
      </c>
      <c r="G36" s="13">
        <v>4849081</v>
      </c>
      <c r="H36" s="13">
        <v>4889975</v>
      </c>
      <c r="I36" s="13">
        <v>77955</v>
      </c>
      <c r="J36" s="35" t="str">
        <f>TRIM(data__2[[#This Row],[Month (old)]])</f>
        <v>Dec</v>
      </c>
      <c r="K36" s="35" t="str">
        <f>TRIM(data__2[[#This Row],[Symbol (old)]])</f>
        <v>BTCUSD</v>
      </c>
      <c r="L36" s="36" t="str">
        <f>LEFT(data__2[[#This Row],[Month (old2)]], 3)</f>
        <v>Dec</v>
      </c>
    </row>
    <row r="37" spans="2:12" x14ac:dyDescent="0.25">
      <c r="B37" s="33">
        <v>44541</v>
      </c>
      <c r="C37" s="34" t="s">
        <v>16</v>
      </c>
      <c r="D37" s="34" t="s">
        <v>5</v>
      </c>
      <c r="E37" s="13">
        <v>4833111</v>
      </c>
      <c r="F37" s="13">
        <v>4969999</v>
      </c>
      <c r="G37" s="13">
        <v>4781928</v>
      </c>
      <c r="H37" s="13">
        <v>4933366</v>
      </c>
      <c r="I37" s="13">
        <v>62386</v>
      </c>
      <c r="J37" s="35" t="str">
        <f>TRIM(data__2[[#This Row],[Month (old)]])</f>
        <v>Dec</v>
      </c>
      <c r="K37" s="35" t="str">
        <f>TRIM(data__2[[#This Row],[Symbol (old)]])</f>
        <v>BTCUSD</v>
      </c>
      <c r="L37" s="36" t="str">
        <f>LEFT(data__2[[#This Row],[Month (old2)]], 3)</f>
        <v>Dec</v>
      </c>
    </row>
    <row r="38" spans="2:12" x14ac:dyDescent="0.25">
      <c r="B38" s="33">
        <v>44540</v>
      </c>
      <c r="C38" s="34" t="s">
        <v>28</v>
      </c>
      <c r="D38" s="34" t="s">
        <v>18</v>
      </c>
      <c r="E38" s="13">
        <v>468764</v>
      </c>
      <c r="F38" s="13">
        <v>471357</v>
      </c>
      <c r="G38" s="13">
        <v>467024</v>
      </c>
      <c r="H38" s="13">
        <v>471202</v>
      </c>
      <c r="I38" s="13">
        <v>285831000000</v>
      </c>
      <c r="J38" s="35" t="str">
        <f>TRIM(data__2[[#This Row],[Month (old)]])</f>
        <v>December</v>
      </c>
      <c r="K38" s="35" t="str">
        <f>TRIM(data__2[[#This Row],[Symbol (old)]])</f>
        <v>SP500</v>
      </c>
      <c r="L38" s="36" t="str">
        <f>LEFT(data__2[[#This Row],[Month (old2)]], 3)</f>
        <v>Dec</v>
      </c>
    </row>
    <row r="39" spans="2:12" x14ac:dyDescent="0.25">
      <c r="B39" s="33">
        <v>44540</v>
      </c>
      <c r="C39" s="34" t="s">
        <v>16</v>
      </c>
      <c r="D39" s="34" t="s">
        <v>5</v>
      </c>
      <c r="E39" s="13">
        <v>4840503</v>
      </c>
      <c r="F39" s="13">
        <v>4924300</v>
      </c>
      <c r="G39" s="13">
        <v>4675920</v>
      </c>
      <c r="H39" s="13">
        <v>4833111</v>
      </c>
      <c r="I39" s="13">
        <v>76672</v>
      </c>
      <c r="J39" s="35" t="str">
        <f>TRIM(data__2[[#This Row],[Month (old)]])</f>
        <v>Dec</v>
      </c>
      <c r="K39" s="35" t="str">
        <f>TRIM(data__2[[#This Row],[Symbol (old)]])</f>
        <v>BTCUSD</v>
      </c>
      <c r="L39" s="36" t="str">
        <f>LEFT(data__2[[#This Row],[Month (old2)]], 3)</f>
        <v>Dec</v>
      </c>
    </row>
    <row r="40" spans="2:12" x14ac:dyDescent="0.25">
      <c r="B40" s="33">
        <v>44539</v>
      </c>
      <c r="C40" s="34" t="s">
        <v>28</v>
      </c>
      <c r="D40" s="34" t="s">
        <v>18</v>
      </c>
      <c r="E40" s="13">
        <v>469100</v>
      </c>
      <c r="F40" s="13">
        <v>469526</v>
      </c>
      <c r="G40" s="13">
        <v>466598</v>
      </c>
      <c r="H40" s="13">
        <v>466745</v>
      </c>
      <c r="I40" s="13">
        <v>285166000000</v>
      </c>
      <c r="J40" s="35" t="str">
        <f>TRIM(data__2[[#This Row],[Month (old)]])</f>
        <v>December</v>
      </c>
      <c r="K40" s="35" t="str">
        <f>TRIM(data__2[[#This Row],[Symbol (old)]])</f>
        <v>SP500</v>
      </c>
      <c r="L40" s="36" t="str">
        <f>LEFT(data__2[[#This Row],[Month (old2)]], 3)</f>
        <v>Dec</v>
      </c>
    </row>
    <row r="41" spans="2:12" x14ac:dyDescent="0.25">
      <c r="B41" s="33">
        <v>44539</v>
      </c>
      <c r="C41" s="34" t="s">
        <v>16</v>
      </c>
      <c r="D41" s="34" t="s">
        <v>5</v>
      </c>
      <c r="E41" s="13">
        <v>4956740</v>
      </c>
      <c r="F41" s="13">
        <v>5036235</v>
      </c>
      <c r="G41" s="13">
        <v>4733520</v>
      </c>
      <c r="H41" s="13">
        <v>4840503</v>
      </c>
      <c r="I41" s="13">
        <v>168680</v>
      </c>
      <c r="J41" s="35" t="str">
        <f>TRIM(data__2[[#This Row],[Month (old)]])</f>
        <v>Dec</v>
      </c>
      <c r="K41" s="35" t="str">
        <f>TRIM(data__2[[#This Row],[Symbol (old)]])</f>
        <v>BTCUSD</v>
      </c>
      <c r="L41" s="36" t="str">
        <f>LEFT(data__2[[#This Row],[Month (old2)]], 3)</f>
        <v>Dec</v>
      </c>
    </row>
    <row r="42" spans="2:12" x14ac:dyDescent="0.25">
      <c r="B42" s="33">
        <v>44538</v>
      </c>
      <c r="C42" s="34" t="s">
        <v>28</v>
      </c>
      <c r="D42" s="34" t="s">
        <v>18</v>
      </c>
      <c r="E42" s="13">
        <v>469086</v>
      </c>
      <c r="F42" s="13">
        <v>470506</v>
      </c>
      <c r="G42" s="13">
        <v>467452</v>
      </c>
      <c r="H42" s="13">
        <v>470121</v>
      </c>
      <c r="I42" s="13">
        <v>306155000000</v>
      </c>
      <c r="J42" s="35" t="str">
        <f>TRIM(data__2[[#This Row],[Month (old)]])</f>
        <v>December</v>
      </c>
      <c r="K42" s="35" t="str">
        <f>TRIM(data__2[[#This Row],[Symbol (old)]])</f>
        <v>SP500</v>
      </c>
      <c r="L42" s="36" t="str">
        <f>LEFT(data__2[[#This Row],[Month (old2)]], 3)</f>
        <v>Dec</v>
      </c>
    </row>
    <row r="43" spans="2:12" x14ac:dyDescent="0.25">
      <c r="B43" s="33">
        <v>44538</v>
      </c>
      <c r="C43" s="34" t="s">
        <v>16</v>
      </c>
      <c r="D43" s="34" t="s">
        <v>5</v>
      </c>
      <c r="E43" s="13">
        <v>5016248</v>
      </c>
      <c r="F43" s="13">
        <v>5126982</v>
      </c>
      <c r="G43" s="13">
        <v>4866968</v>
      </c>
      <c r="H43" s="13">
        <v>4956740</v>
      </c>
      <c r="I43" s="13">
        <v>121560</v>
      </c>
      <c r="J43" s="35" t="str">
        <f>TRIM(data__2[[#This Row],[Month (old)]])</f>
        <v>Dec</v>
      </c>
      <c r="K43" s="35" t="str">
        <f>TRIM(data__2[[#This Row],[Symbol (old)]])</f>
        <v>BTCUSD</v>
      </c>
      <c r="L43" s="36" t="str">
        <f>LEFT(data__2[[#This Row],[Month (old2)]], 3)</f>
        <v>Dec</v>
      </c>
    </row>
    <row r="44" spans="2:12" x14ac:dyDescent="0.25">
      <c r="B44" s="33">
        <v>44537</v>
      </c>
      <c r="C44" s="34" t="s">
        <v>28</v>
      </c>
      <c r="D44" s="34" t="s">
        <v>18</v>
      </c>
      <c r="E44" s="13">
        <v>463197</v>
      </c>
      <c r="F44" s="13">
        <v>469404</v>
      </c>
      <c r="G44" s="13">
        <v>463197</v>
      </c>
      <c r="H44" s="13">
        <v>468675</v>
      </c>
      <c r="I44" s="13">
        <v>333432000000</v>
      </c>
      <c r="J44" s="35" t="str">
        <f>TRIM(data__2[[#This Row],[Month (old)]])</f>
        <v>December</v>
      </c>
      <c r="K44" s="35" t="str">
        <f>TRIM(data__2[[#This Row],[Symbol (old)]])</f>
        <v>SP500</v>
      </c>
      <c r="L44" s="36" t="str">
        <f>LEFT(data__2[[#This Row],[Month (old2)]], 3)</f>
        <v>Dec</v>
      </c>
    </row>
    <row r="45" spans="2:12" x14ac:dyDescent="0.25">
      <c r="B45" s="33">
        <v>44537</v>
      </c>
      <c r="C45" s="34" t="s">
        <v>16</v>
      </c>
      <c r="D45" s="34" t="s">
        <v>5</v>
      </c>
      <c r="E45" s="13">
        <v>5101243</v>
      </c>
      <c r="F45" s="13">
        <v>5198266</v>
      </c>
      <c r="G45" s="13">
        <v>5008600</v>
      </c>
      <c r="H45" s="13">
        <v>5016248</v>
      </c>
      <c r="I45" s="13">
        <v>122079</v>
      </c>
      <c r="J45" s="35" t="str">
        <f>TRIM(data__2[[#This Row],[Month (old)]])</f>
        <v>Dec</v>
      </c>
      <c r="K45" s="35" t="str">
        <f>TRIM(data__2[[#This Row],[Symbol (old)]])</f>
        <v>BTCUSD</v>
      </c>
      <c r="L45" s="36" t="str">
        <f>LEFT(data__2[[#This Row],[Month (old2)]], 3)</f>
        <v>Dec</v>
      </c>
    </row>
    <row r="46" spans="2:12" x14ac:dyDescent="0.25">
      <c r="B46" s="33">
        <v>44536</v>
      </c>
      <c r="C46" s="34" t="s">
        <v>28</v>
      </c>
      <c r="D46" s="34" t="s">
        <v>18</v>
      </c>
      <c r="E46" s="13">
        <v>454837</v>
      </c>
      <c r="F46" s="13">
        <v>461260</v>
      </c>
      <c r="G46" s="13">
        <v>454051</v>
      </c>
      <c r="H46" s="13">
        <v>459167</v>
      </c>
      <c r="I46" s="13">
        <v>330569000000</v>
      </c>
      <c r="J46" s="35" t="str">
        <f>TRIM(data__2[[#This Row],[Month (old)]])</f>
        <v>December</v>
      </c>
      <c r="K46" s="35" t="str">
        <f>TRIM(data__2[[#This Row],[Symbol (old)]])</f>
        <v>SP500</v>
      </c>
      <c r="L46" s="36" t="str">
        <f>LEFT(data__2[[#This Row],[Month (old2)]], 3)</f>
        <v>Dec</v>
      </c>
    </row>
    <row r="47" spans="2:12" x14ac:dyDescent="0.25">
      <c r="B47" s="33">
        <v>44536</v>
      </c>
      <c r="C47" s="34" t="s">
        <v>16</v>
      </c>
      <c r="D47" s="34" t="s">
        <v>5</v>
      </c>
      <c r="E47" s="13">
        <v>4910301</v>
      </c>
      <c r="F47" s="13">
        <v>5148104</v>
      </c>
      <c r="G47" s="13">
        <v>4716565</v>
      </c>
      <c r="H47" s="13">
        <v>5101243</v>
      </c>
      <c r="I47" s="13">
        <v>213933</v>
      </c>
      <c r="J47" s="35" t="str">
        <f>TRIM(data__2[[#This Row],[Month (old)]])</f>
        <v>Dec</v>
      </c>
      <c r="K47" s="35" t="str">
        <f>TRIM(data__2[[#This Row],[Symbol (old)]])</f>
        <v>BTCUSD</v>
      </c>
      <c r="L47" s="36" t="str">
        <f>LEFT(data__2[[#This Row],[Month (old2)]], 3)</f>
        <v>Dec</v>
      </c>
    </row>
    <row r="48" spans="2:12" x14ac:dyDescent="0.25">
      <c r="B48" s="33">
        <v>44535</v>
      </c>
      <c r="C48" s="34" t="s">
        <v>16</v>
      </c>
      <c r="D48" s="34" t="s">
        <v>5</v>
      </c>
      <c r="E48" s="13">
        <v>4924956</v>
      </c>
      <c r="F48" s="13">
        <v>4978695</v>
      </c>
      <c r="G48" s="13">
        <v>4784403</v>
      </c>
      <c r="H48" s="13">
        <v>4910301</v>
      </c>
      <c r="I48" s="13">
        <v>369703</v>
      </c>
      <c r="J48" s="35" t="str">
        <f>TRIM(data__2[[#This Row],[Month (old)]])</f>
        <v>Dec</v>
      </c>
      <c r="K48" s="35" t="str">
        <f>TRIM(data__2[[#This Row],[Symbol (old)]])</f>
        <v>BTCUSD</v>
      </c>
      <c r="L48" s="36" t="str">
        <f>LEFT(data__2[[#This Row],[Month (old2)]], 3)</f>
        <v>Dec</v>
      </c>
    </row>
    <row r="49" spans="2:12" x14ac:dyDescent="0.25">
      <c r="B49" s="33">
        <v>44534</v>
      </c>
      <c r="C49" s="34" t="s">
        <v>16</v>
      </c>
      <c r="D49" s="34" t="s">
        <v>5</v>
      </c>
      <c r="E49" s="13">
        <v>5205590</v>
      </c>
      <c r="F49" s="13">
        <v>5264442</v>
      </c>
      <c r="G49" s="13">
        <v>4207462</v>
      </c>
      <c r="H49" s="13">
        <v>4924956</v>
      </c>
      <c r="I49" s="13">
        <v>548689</v>
      </c>
      <c r="J49" s="35" t="str">
        <f>TRIM(data__2[[#This Row],[Month (old)]])</f>
        <v>Dec</v>
      </c>
      <c r="K49" s="35" t="str">
        <f>TRIM(data__2[[#This Row],[Symbol (old)]])</f>
        <v>BTCUSD</v>
      </c>
      <c r="L49" s="36" t="str">
        <f>LEFT(data__2[[#This Row],[Month (old2)]], 3)</f>
        <v>Dec</v>
      </c>
    </row>
    <row r="50" spans="2:12" x14ac:dyDescent="0.25">
      <c r="B50" s="33">
        <v>44533</v>
      </c>
      <c r="C50" s="34" t="s">
        <v>28</v>
      </c>
      <c r="D50" s="34" t="s">
        <v>18</v>
      </c>
      <c r="E50" s="13">
        <v>458949</v>
      </c>
      <c r="F50" s="13">
        <v>460803</v>
      </c>
      <c r="G50" s="13">
        <v>449512</v>
      </c>
      <c r="H50" s="13">
        <v>453843</v>
      </c>
      <c r="I50" s="13">
        <v>397150000000</v>
      </c>
      <c r="J50" s="35" t="str">
        <f>TRIM(data__2[[#This Row],[Month (old)]])</f>
        <v>December</v>
      </c>
      <c r="K50" s="35" t="str">
        <f>TRIM(data__2[[#This Row],[Symbol (old)]])</f>
        <v>SP500</v>
      </c>
      <c r="L50" s="36" t="str">
        <f>LEFT(data__2[[#This Row],[Month (old2)]], 3)</f>
        <v>Dec</v>
      </c>
    </row>
    <row r="51" spans="2:12" x14ac:dyDescent="0.25">
      <c r="B51" s="33">
        <v>44533</v>
      </c>
      <c r="C51" s="34" t="s">
        <v>16</v>
      </c>
      <c r="D51" s="34" t="s">
        <v>5</v>
      </c>
      <c r="E51" s="13">
        <v>5638025</v>
      </c>
      <c r="F51" s="13">
        <v>5767358</v>
      </c>
      <c r="G51" s="13">
        <v>5161930</v>
      </c>
      <c r="H51" s="13">
        <v>5205590</v>
      </c>
      <c r="I51" s="13">
        <v>178477</v>
      </c>
      <c r="J51" s="35" t="str">
        <f>TRIM(data__2[[#This Row],[Month (old)]])</f>
        <v>Dec</v>
      </c>
      <c r="K51" s="35" t="str">
        <f>TRIM(data__2[[#This Row],[Symbol (old)]])</f>
        <v>BTCUSD</v>
      </c>
      <c r="L51" s="36" t="str">
        <f>LEFT(data__2[[#This Row],[Month (old2)]], 3)</f>
        <v>Dec</v>
      </c>
    </row>
    <row r="52" spans="2:12" x14ac:dyDescent="0.25">
      <c r="B52" s="33">
        <v>44532</v>
      </c>
      <c r="C52" s="34" t="s">
        <v>28</v>
      </c>
      <c r="D52" s="34" t="s">
        <v>18</v>
      </c>
      <c r="E52" s="13">
        <v>450473</v>
      </c>
      <c r="F52" s="13">
        <v>459546</v>
      </c>
      <c r="G52" s="13">
        <v>450473</v>
      </c>
      <c r="H52" s="13">
        <v>457710</v>
      </c>
      <c r="I52" s="13">
        <v>377151000000</v>
      </c>
      <c r="J52" s="35" t="str">
        <f>TRIM(data__2[[#This Row],[Month (old)]])</f>
        <v>December</v>
      </c>
      <c r="K52" s="35" t="str">
        <f>TRIM(data__2[[#This Row],[Symbol (old)]])</f>
        <v>SP500</v>
      </c>
      <c r="L52" s="36" t="str">
        <f>LEFT(data__2[[#This Row],[Month (old2)]], 3)</f>
        <v>Dec</v>
      </c>
    </row>
    <row r="53" spans="2:12" x14ac:dyDescent="0.25">
      <c r="B53" s="33">
        <v>44532</v>
      </c>
      <c r="C53" s="34" t="s">
        <v>16</v>
      </c>
      <c r="D53" s="34" t="s">
        <v>5</v>
      </c>
      <c r="E53" s="13">
        <v>5636219</v>
      </c>
      <c r="F53" s="13">
        <v>5727792</v>
      </c>
      <c r="G53" s="13">
        <v>5600000</v>
      </c>
      <c r="H53" s="13">
        <v>5638025</v>
      </c>
      <c r="I53" s="13">
        <v>114049</v>
      </c>
      <c r="J53" s="35" t="str">
        <f>TRIM(data__2[[#This Row],[Month (old)]])</f>
        <v>Dec</v>
      </c>
      <c r="K53" s="35" t="str">
        <f>TRIM(data__2[[#This Row],[Symbol (old)]])</f>
        <v>BTCUSD</v>
      </c>
      <c r="L53" s="36" t="str">
        <f>LEFT(data__2[[#This Row],[Month (old2)]], 3)</f>
        <v>Dec</v>
      </c>
    </row>
    <row r="54" spans="2:12" x14ac:dyDescent="0.25">
      <c r="B54" s="33">
        <v>44531</v>
      </c>
      <c r="C54" s="34" t="s">
        <v>28</v>
      </c>
      <c r="D54" s="34" t="s">
        <v>18</v>
      </c>
      <c r="E54" s="13">
        <v>460282</v>
      </c>
      <c r="F54" s="13">
        <v>465294</v>
      </c>
      <c r="G54" s="13">
        <v>451027</v>
      </c>
      <c r="H54" s="13">
        <v>451304</v>
      </c>
      <c r="I54" s="13">
        <v>407826000000</v>
      </c>
      <c r="J54" s="35" t="str">
        <f>TRIM(data__2[[#This Row],[Month (old)]])</f>
        <v>December</v>
      </c>
      <c r="K54" s="35" t="str">
        <f>TRIM(data__2[[#This Row],[Symbol (old)]])</f>
        <v>SP500</v>
      </c>
      <c r="L54" s="36" t="str">
        <f>LEFT(data__2[[#This Row],[Month (old2)]], 3)</f>
        <v>Dec</v>
      </c>
    </row>
    <row r="55" spans="2:12" x14ac:dyDescent="0.25">
      <c r="B55" s="33">
        <v>44531</v>
      </c>
      <c r="C55" s="34" t="s">
        <v>16</v>
      </c>
      <c r="D55" s="34" t="s">
        <v>5</v>
      </c>
      <c r="E55" s="13">
        <v>5740447</v>
      </c>
      <c r="F55" s="13">
        <v>5910591</v>
      </c>
      <c r="G55" s="13">
        <v>5586002</v>
      </c>
      <c r="H55" s="13">
        <v>5636219</v>
      </c>
      <c r="I55" s="13">
        <v>142043</v>
      </c>
      <c r="J55" s="35" t="str">
        <f>TRIM(data__2[[#This Row],[Month (old)]])</f>
        <v>Dec</v>
      </c>
      <c r="K55" s="35" t="str">
        <f>TRIM(data__2[[#This Row],[Symbol (old)]])</f>
        <v>BTCUSD</v>
      </c>
      <c r="L55" s="36" t="str">
        <f>LEFT(data__2[[#This Row],[Month (old2)]], 3)</f>
        <v>Dec</v>
      </c>
    </row>
    <row r="56" spans="2:12" x14ac:dyDescent="0.25">
      <c r="B56" s="33">
        <v>44530</v>
      </c>
      <c r="C56" s="34" t="s">
        <v>27</v>
      </c>
      <c r="D56" s="34" t="s">
        <v>18</v>
      </c>
      <c r="E56" s="13">
        <v>464025</v>
      </c>
      <c r="F56" s="13">
        <v>464602</v>
      </c>
      <c r="G56" s="13">
        <v>456000</v>
      </c>
      <c r="H56" s="13">
        <v>456700</v>
      </c>
      <c r="I56" s="13">
        <v>495019000000</v>
      </c>
      <c r="J56" s="35" t="str">
        <f>TRIM(data__2[[#This Row],[Month (old)]])</f>
        <v>November</v>
      </c>
      <c r="K56" s="35" t="str">
        <f>TRIM(data__2[[#This Row],[Symbol (old)]])</f>
        <v>SP500</v>
      </c>
      <c r="L56" s="36" t="str">
        <f>LEFT(data__2[[#This Row],[Month (old2)]], 3)</f>
        <v>Nov</v>
      </c>
    </row>
    <row r="57" spans="2:12" x14ac:dyDescent="0.25">
      <c r="B57" s="33">
        <v>44530</v>
      </c>
      <c r="C57" s="34" t="s">
        <v>15</v>
      </c>
      <c r="D57" s="34" t="s">
        <v>5</v>
      </c>
      <c r="E57" s="13">
        <v>5716387</v>
      </c>
      <c r="F57" s="13">
        <v>5922698</v>
      </c>
      <c r="G57" s="13">
        <v>5593025</v>
      </c>
      <c r="H57" s="13">
        <v>5740447</v>
      </c>
      <c r="I57" s="13">
        <v>148728</v>
      </c>
      <c r="J57" s="35" t="str">
        <f>TRIM(data__2[[#This Row],[Month (old)]])</f>
        <v>Nov</v>
      </c>
      <c r="K57" s="35" t="str">
        <f>TRIM(data__2[[#This Row],[Symbol (old)]])</f>
        <v>BTCUSD</v>
      </c>
      <c r="L57" s="36" t="str">
        <f>LEFT(data__2[[#This Row],[Month (old2)]], 3)</f>
        <v>Nov</v>
      </c>
    </row>
    <row r="58" spans="2:12" x14ac:dyDescent="0.25">
      <c r="B58" s="33">
        <v>44529</v>
      </c>
      <c r="C58" s="34" t="s">
        <v>27</v>
      </c>
      <c r="D58" s="34" t="s">
        <v>18</v>
      </c>
      <c r="E58" s="13">
        <v>462875</v>
      </c>
      <c r="F58" s="13">
        <v>467295</v>
      </c>
      <c r="G58" s="13">
        <v>462526</v>
      </c>
      <c r="H58" s="13">
        <v>465527</v>
      </c>
      <c r="I58" s="13">
        <v>347138000000</v>
      </c>
      <c r="J58" s="35" t="str">
        <f>TRIM(data__2[[#This Row],[Month (old)]])</f>
        <v>November</v>
      </c>
      <c r="K58" s="35" t="str">
        <f>TRIM(data__2[[#This Row],[Symbol (old)]])</f>
        <v>SP500</v>
      </c>
      <c r="L58" s="36" t="str">
        <f>LEFT(data__2[[#This Row],[Month (old2)]], 3)</f>
        <v>Nov</v>
      </c>
    </row>
    <row r="59" spans="2:12" x14ac:dyDescent="0.25">
      <c r="B59" s="33">
        <v>44529</v>
      </c>
      <c r="C59" s="34" t="s">
        <v>15</v>
      </c>
      <c r="D59" s="34" t="s">
        <v>5</v>
      </c>
      <c r="E59" s="13">
        <v>5740061</v>
      </c>
      <c r="F59" s="13">
        <v>5890331</v>
      </c>
      <c r="G59" s="13">
        <v>5673449</v>
      </c>
      <c r="H59" s="13">
        <v>5716387</v>
      </c>
      <c r="I59" s="13">
        <v>105704</v>
      </c>
      <c r="J59" s="35" t="str">
        <f>TRIM(data__2[[#This Row],[Month (old)]])</f>
        <v>Nov</v>
      </c>
      <c r="K59" s="35" t="str">
        <f>TRIM(data__2[[#This Row],[Symbol (old)]])</f>
        <v>BTCUSD</v>
      </c>
      <c r="L59" s="36" t="str">
        <f>LEFT(data__2[[#This Row],[Month (old2)]], 3)</f>
        <v>Nov</v>
      </c>
    </row>
    <row r="60" spans="2:12" x14ac:dyDescent="0.25">
      <c r="B60" s="33">
        <v>44528</v>
      </c>
      <c r="C60" s="34" t="s">
        <v>15</v>
      </c>
      <c r="D60" s="34" t="s">
        <v>5</v>
      </c>
      <c r="E60" s="13">
        <v>5416185</v>
      </c>
      <c r="F60" s="13">
        <v>5826520</v>
      </c>
      <c r="G60" s="13">
        <v>5333333</v>
      </c>
      <c r="H60" s="13">
        <v>5740061</v>
      </c>
      <c r="I60" s="13">
        <v>79075</v>
      </c>
      <c r="J60" s="35" t="str">
        <f>TRIM(data__2[[#This Row],[Month (old)]])</f>
        <v>Nov</v>
      </c>
      <c r="K60" s="35" t="str">
        <f>TRIM(data__2[[#This Row],[Symbol (old)]])</f>
        <v>BTCUSD</v>
      </c>
      <c r="L60" s="36" t="str">
        <f>LEFT(data__2[[#This Row],[Month (old2)]], 3)</f>
        <v>Nov</v>
      </c>
    </row>
    <row r="61" spans="2:12" x14ac:dyDescent="0.25">
      <c r="B61" s="33">
        <v>44527</v>
      </c>
      <c r="C61" s="34" t="s">
        <v>15</v>
      </c>
      <c r="D61" s="34" t="s">
        <v>5</v>
      </c>
      <c r="E61" s="13">
        <v>5440903</v>
      </c>
      <c r="F61" s="13">
        <v>5532080</v>
      </c>
      <c r="G61" s="13">
        <v>5373980</v>
      </c>
      <c r="H61" s="13">
        <v>5416185</v>
      </c>
      <c r="I61" s="13">
        <v>55651</v>
      </c>
      <c r="J61" s="35" t="str">
        <f>TRIM(data__2[[#This Row],[Month (old)]])</f>
        <v>Nov</v>
      </c>
      <c r="K61" s="35" t="str">
        <f>TRIM(data__2[[#This Row],[Symbol (old)]])</f>
        <v>BTCUSD</v>
      </c>
      <c r="L61" s="36" t="str">
        <f>LEFT(data__2[[#This Row],[Month (old2)]], 3)</f>
        <v>Nov</v>
      </c>
    </row>
    <row r="62" spans="2:12" x14ac:dyDescent="0.25">
      <c r="B62" s="33">
        <v>44526</v>
      </c>
      <c r="C62" s="34" t="s">
        <v>27</v>
      </c>
      <c r="D62" s="34" t="s">
        <v>18</v>
      </c>
      <c r="E62" s="13">
        <v>466463</v>
      </c>
      <c r="F62" s="13">
        <v>466463</v>
      </c>
      <c r="G62" s="13">
        <v>458543</v>
      </c>
      <c r="H62" s="13">
        <v>459462</v>
      </c>
      <c r="I62" s="13">
        <v>267674000000</v>
      </c>
      <c r="J62" s="35" t="str">
        <f>TRIM(data__2[[#This Row],[Month (old)]])</f>
        <v>November</v>
      </c>
      <c r="K62" s="35" t="str">
        <f>TRIM(data__2[[#This Row],[Symbol (old)]])</f>
        <v>SP500</v>
      </c>
      <c r="L62" s="36" t="str">
        <f>LEFT(data__2[[#This Row],[Month (old2)]], 3)</f>
        <v>Nov</v>
      </c>
    </row>
    <row r="63" spans="2:12" x14ac:dyDescent="0.25">
      <c r="B63" s="33">
        <v>44526</v>
      </c>
      <c r="C63" s="34" t="s">
        <v>15</v>
      </c>
      <c r="D63" s="34" t="s">
        <v>5</v>
      </c>
      <c r="E63" s="13">
        <v>5795235</v>
      </c>
      <c r="F63" s="13">
        <v>5804376</v>
      </c>
      <c r="G63" s="13">
        <v>5352900</v>
      </c>
      <c r="H63" s="13">
        <v>5440903</v>
      </c>
      <c r="I63" s="13">
        <v>280410</v>
      </c>
      <c r="J63" s="35" t="str">
        <f>TRIM(data__2[[#This Row],[Month (old)]])</f>
        <v>Nov</v>
      </c>
      <c r="K63" s="35" t="str">
        <f>TRIM(data__2[[#This Row],[Symbol (old)]])</f>
        <v>BTCUSD</v>
      </c>
      <c r="L63" s="36" t="str">
        <f>LEFT(data__2[[#This Row],[Month (old2)]], 3)</f>
        <v>Nov</v>
      </c>
    </row>
    <row r="64" spans="2:12" x14ac:dyDescent="0.25">
      <c r="B64" s="33">
        <v>44525</v>
      </c>
      <c r="C64" s="34" t="s">
        <v>15</v>
      </c>
      <c r="D64" s="34" t="s">
        <v>5</v>
      </c>
      <c r="E64" s="13">
        <v>5775625</v>
      </c>
      <c r="F64" s="13">
        <v>5947665</v>
      </c>
      <c r="G64" s="13">
        <v>5705176</v>
      </c>
      <c r="H64" s="13">
        <v>5795235</v>
      </c>
      <c r="I64" s="13">
        <v>62899</v>
      </c>
      <c r="J64" s="35" t="str">
        <f>TRIM(data__2[[#This Row],[Month (old)]])</f>
        <v>Nov</v>
      </c>
      <c r="K64" s="35" t="str">
        <f>TRIM(data__2[[#This Row],[Symbol (old)]])</f>
        <v>BTCUSD</v>
      </c>
      <c r="L64" s="36" t="str">
        <f>LEFT(data__2[[#This Row],[Month (old2)]], 3)</f>
        <v>Nov</v>
      </c>
    </row>
    <row r="65" spans="2:12" x14ac:dyDescent="0.25">
      <c r="B65" s="33">
        <v>44524</v>
      </c>
      <c r="C65" s="34" t="s">
        <v>27</v>
      </c>
      <c r="D65" s="34" t="s">
        <v>18</v>
      </c>
      <c r="E65" s="13">
        <v>467578</v>
      </c>
      <c r="F65" s="13">
        <v>470287</v>
      </c>
      <c r="G65" s="13">
        <v>465989</v>
      </c>
      <c r="H65" s="13">
        <v>470146</v>
      </c>
      <c r="I65" s="13">
        <v>246404000000</v>
      </c>
      <c r="J65" s="35" t="str">
        <f>TRIM(data__2[[#This Row],[Month (old)]])</f>
        <v>November</v>
      </c>
      <c r="K65" s="35" t="str">
        <f>TRIM(data__2[[#This Row],[Symbol (old)]])</f>
        <v>SP500</v>
      </c>
      <c r="L65" s="36" t="str">
        <f>LEFT(data__2[[#This Row],[Month (old2)]], 3)</f>
        <v>Nov</v>
      </c>
    </row>
    <row r="66" spans="2:12" x14ac:dyDescent="0.25">
      <c r="B66" s="33">
        <v>44524</v>
      </c>
      <c r="C66" s="34" t="s">
        <v>15</v>
      </c>
      <c r="D66" s="34" t="s">
        <v>5</v>
      </c>
      <c r="E66" s="13">
        <v>5642350</v>
      </c>
      <c r="F66" s="13">
        <v>5827658</v>
      </c>
      <c r="G66" s="13">
        <v>5589900</v>
      </c>
      <c r="H66" s="13">
        <v>5775625</v>
      </c>
      <c r="I66" s="13">
        <v>110516</v>
      </c>
      <c r="J66" s="35" t="str">
        <f>TRIM(data__2[[#This Row],[Month (old)]])</f>
        <v>Nov</v>
      </c>
      <c r="K66" s="35" t="str">
        <f>TRIM(data__2[[#This Row],[Symbol (old)]])</f>
        <v>BTCUSD</v>
      </c>
      <c r="L66" s="36" t="str">
        <f>LEFT(data__2[[#This Row],[Month (old2)]], 3)</f>
        <v>Nov</v>
      </c>
    </row>
    <row r="67" spans="2:12" x14ac:dyDescent="0.25">
      <c r="B67" s="33">
        <v>44523</v>
      </c>
      <c r="C67" s="34" t="s">
        <v>27</v>
      </c>
      <c r="D67" s="34" t="s">
        <v>18</v>
      </c>
      <c r="E67" s="13">
        <v>467848</v>
      </c>
      <c r="F67" s="13">
        <v>469939</v>
      </c>
      <c r="G67" s="13">
        <v>465266</v>
      </c>
      <c r="H67" s="13">
        <v>469070</v>
      </c>
      <c r="I67" s="13">
        <v>342878000000</v>
      </c>
      <c r="J67" s="35" t="str">
        <f>TRIM(data__2[[#This Row],[Month (old)]])</f>
        <v>November</v>
      </c>
      <c r="K67" s="35" t="str">
        <f>TRIM(data__2[[#This Row],[Symbol (old)]])</f>
        <v>SP500</v>
      </c>
      <c r="L67" s="36" t="str">
        <f>LEFT(data__2[[#This Row],[Month (old2)]], 3)</f>
        <v>Nov</v>
      </c>
    </row>
    <row r="68" spans="2:12" x14ac:dyDescent="0.25">
      <c r="B68" s="33">
        <v>44523</v>
      </c>
      <c r="C68" s="34" t="s">
        <v>15</v>
      </c>
      <c r="D68" s="34" t="s">
        <v>5</v>
      </c>
      <c r="E68" s="13">
        <v>5697538</v>
      </c>
      <c r="F68" s="13">
        <v>5788226</v>
      </c>
      <c r="G68" s="13">
        <v>5538400</v>
      </c>
      <c r="H68" s="13">
        <v>5642350</v>
      </c>
      <c r="I68" s="13">
        <v>158478</v>
      </c>
      <c r="J68" s="35" t="str">
        <f>TRIM(data__2[[#This Row],[Month (old)]])</f>
        <v>Nov</v>
      </c>
      <c r="K68" s="35" t="str">
        <f>TRIM(data__2[[#This Row],[Symbol (old)]])</f>
        <v>BTCUSD</v>
      </c>
      <c r="L68" s="36" t="str">
        <f>LEFT(data__2[[#This Row],[Month (old2)]], 3)</f>
        <v>Nov</v>
      </c>
    </row>
    <row r="69" spans="2:12" x14ac:dyDescent="0.25">
      <c r="B69" s="33">
        <v>44522</v>
      </c>
      <c r="C69" s="34" t="s">
        <v>27</v>
      </c>
      <c r="D69" s="34" t="s">
        <v>18</v>
      </c>
      <c r="E69" s="13">
        <v>471200</v>
      </c>
      <c r="F69" s="13">
        <v>474383</v>
      </c>
      <c r="G69" s="13">
        <v>468217</v>
      </c>
      <c r="H69" s="13">
        <v>468294</v>
      </c>
      <c r="I69" s="13">
        <v>320628000000</v>
      </c>
      <c r="J69" s="35" t="str">
        <f>TRIM(data__2[[#This Row],[Month (old)]])</f>
        <v>November</v>
      </c>
      <c r="K69" s="35" t="str">
        <f>TRIM(data__2[[#This Row],[Symbol (old)]])</f>
        <v>SP500</v>
      </c>
      <c r="L69" s="36" t="str">
        <f>LEFT(data__2[[#This Row],[Month (old2)]], 3)</f>
        <v>Nov</v>
      </c>
    </row>
    <row r="70" spans="2:12" x14ac:dyDescent="0.25">
      <c r="B70" s="33">
        <v>44522</v>
      </c>
      <c r="C70" s="34" t="s">
        <v>15</v>
      </c>
      <c r="D70" s="34" t="s">
        <v>5</v>
      </c>
      <c r="E70" s="13">
        <v>5744038</v>
      </c>
      <c r="F70" s="13">
        <v>5958152</v>
      </c>
      <c r="G70" s="13">
        <v>5564853</v>
      </c>
      <c r="H70" s="13">
        <v>5697538</v>
      </c>
      <c r="I70" s="13">
        <v>143031</v>
      </c>
      <c r="J70" s="35" t="str">
        <f>TRIM(data__2[[#This Row],[Month (old)]])</f>
        <v>Nov</v>
      </c>
      <c r="K70" s="35" t="str">
        <f>TRIM(data__2[[#This Row],[Symbol (old)]])</f>
        <v>BTCUSD</v>
      </c>
      <c r="L70" s="36" t="str">
        <f>LEFT(data__2[[#This Row],[Month (old2)]], 3)</f>
        <v>Nov</v>
      </c>
    </row>
    <row r="71" spans="2:12" x14ac:dyDescent="0.25">
      <c r="B71" s="33">
        <v>44521</v>
      </c>
      <c r="C71" s="34" t="s">
        <v>15</v>
      </c>
      <c r="D71" s="34" t="s">
        <v>5</v>
      </c>
      <c r="E71" s="13">
        <v>5874106</v>
      </c>
      <c r="F71" s="13">
        <v>6006189</v>
      </c>
      <c r="G71" s="13">
        <v>5704907</v>
      </c>
      <c r="H71" s="13">
        <v>5744038</v>
      </c>
      <c r="I71" s="13">
        <v>64959</v>
      </c>
      <c r="J71" s="35" t="str">
        <f>TRIM(data__2[[#This Row],[Month (old)]])</f>
        <v>Nov</v>
      </c>
      <c r="K71" s="35" t="str">
        <f>TRIM(data__2[[#This Row],[Symbol (old)]])</f>
        <v>BTCUSD</v>
      </c>
      <c r="L71" s="36" t="str">
        <f>LEFT(data__2[[#This Row],[Month (old2)]], 3)</f>
        <v>Nov</v>
      </c>
    </row>
    <row r="72" spans="2:12" x14ac:dyDescent="0.25">
      <c r="B72" s="33">
        <v>44520</v>
      </c>
      <c r="C72" s="34" t="s">
        <v>15</v>
      </c>
      <c r="D72" s="34" t="s">
        <v>5</v>
      </c>
      <c r="E72" s="13">
        <v>5859683</v>
      </c>
      <c r="F72" s="13">
        <v>5988611</v>
      </c>
      <c r="G72" s="13">
        <v>5744200</v>
      </c>
      <c r="H72" s="13">
        <v>5874106</v>
      </c>
      <c r="I72" s="13">
        <v>77779</v>
      </c>
      <c r="J72" s="35" t="str">
        <f>TRIM(data__2[[#This Row],[Month (old)]])</f>
        <v>Nov</v>
      </c>
      <c r="K72" s="35" t="str">
        <f>TRIM(data__2[[#This Row],[Symbol (old)]])</f>
        <v>BTCUSD</v>
      </c>
      <c r="L72" s="36" t="str">
        <f>LEFT(data__2[[#This Row],[Month (old2)]], 3)</f>
        <v>Nov</v>
      </c>
    </row>
    <row r="73" spans="2:12" x14ac:dyDescent="0.25">
      <c r="B73" s="33">
        <v>44519</v>
      </c>
      <c r="C73" s="34" t="s">
        <v>27</v>
      </c>
      <c r="D73" s="34" t="s">
        <v>18</v>
      </c>
      <c r="E73" s="13">
        <v>470844</v>
      </c>
      <c r="F73" s="13">
        <v>471775</v>
      </c>
      <c r="G73" s="13">
        <v>469422</v>
      </c>
      <c r="H73" s="13">
        <v>469796</v>
      </c>
      <c r="I73" s="13">
        <v>326560000000</v>
      </c>
      <c r="J73" s="35" t="str">
        <f>TRIM(data__2[[#This Row],[Month (old)]])</f>
        <v>November</v>
      </c>
      <c r="K73" s="35" t="str">
        <f>TRIM(data__2[[#This Row],[Symbol (old)]])</f>
        <v>SP500</v>
      </c>
      <c r="L73" s="36" t="str">
        <f>LEFT(data__2[[#This Row],[Month (old2)]], 3)</f>
        <v>Nov</v>
      </c>
    </row>
    <row r="74" spans="2:12" x14ac:dyDescent="0.25">
      <c r="B74" s="33">
        <v>44519</v>
      </c>
      <c r="C74" s="34" t="s">
        <v>15</v>
      </c>
      <c r="D74" s="34" t="s">
        <v>5</v>
      </c>
      <c r="E74" s="13">
        <v>5591116</v>
      </c>
      <c r="F74" s="13">
        <v>5904200</v>
      </c>
      <c r="G74" s="13">
        <v>5585695</v>
      </c>
      <c r="H74" s="13">
        <v>5859683</v>
      </c>
      <c r="I74" s="13">
        <v>148312</v>
      </c>
      <c r="J74" s="35" t="str">
        <f>TRIM(data__2[[#This Row],[Month (old)]])</f>
        <v>Nov</v>
      </c>
      <c r="K74" s="35" t="str">
        <f>TRIM(data__2[[#This Row],[Symbol (old)]])</f>
        <v>BTCUSD</v>
      </c>
      <c r="L74" s="36" t="str">
        <f>LEFT(data__2[[#This Row],[Month (old2)]], 3)</f>
        <v>Nov</v>
      </c>
    </row>
    <row r="75" spans="2:12" x14ac:dyDescent="0.25">
      <c r="B75" s="33">
        <v>44518</v>
      </c>
      <c r="C75" s="34" t="s">
        <v>27</v>
      </c>
      <c r="D75" s="34" t="s">
        <v>18</v>
      </c>
      <c r="E75" s="13">
        <v>470072</v>
      </c>
      <c r="F75" s="13">
        <v>470880</v>
      </c>
      <c r="G75" s="13">
        <v>467278</v>
      </c>
      <c r="H75" s="13">
        <v>470454</v>
      </c>
      <c r="I75" s="13">
        <v>333562000000</v>
      </c>
      <c r="J75" s="35" t="str">
        <f>TRIM(data__2[[#This Row],[Month (old)]])</f>
        <v>November</v>
      </c>
      <c r="K75" s="35" t="str">
        <f>TRIM(data__2[[#This Row],[Symbol (old)]])</f>
        <v>SP500</v>
      </c>
      <c r="L75" s="36" t="str">
        <f>LEFT(data__2[[#This Row],[Month (old2)]], 3)</f>
        <v>Nov</v>
      </c>
    </row>
    <row r="76" spans="2:12" x14ac:dyDescent="0.25">
      <c r="B76" s="33">
        <v>44518</v>
      </c>
      <c r="C76" s="34" t="s">
        <v>15</v>
      </c>
      <c r="D76" s="34" t="s">
        <v>5</v>
      </c>
      <c r="E76" s="13">
        <v>5988521</v>
      </c>
      <c r="F76" s="13">
        <v>6010630</v>
      </c>
      <c r="G76" s="13">
        <v>5376000</v>
      </c>
      <c r="H76" s="13">
        <v>5591116</v>
      </c>
      <c r="I76" s="13">
        <v>399942</v>
      </c>
      <c r="J76" s="35" t="str">
        <f>TRIM(data__2[[#This Row],[Month (old)]])</f>
        <v>Nov</v>
      </c>
      <c r="K76" s="35" t="str">
        <f>TRIM(data__2[[#This Row],[Symbol (old)]])</f>
        <v>BTCUSD</v>
      </c>
      <c r="L76" s="36" t="str">
        <f>LEFT(data__2[[#This Row],[Month (old2)]], 3)</f>
        <v>Nov</v>
      </c>
    </row>
    <row r="77" spans="2:12" x14ac:dyDescent="0.25">
      <c r="B77" s="33">
        <v>44517</v>
      </c>
      <c r="C77" s="34" t="s">
        <v>27</v>
      </c>
      <c r="D77" s="34" t="s">
        <v>18</v>
      </c>
      <c r="E77" s="13">
        <v>470150</v>
      </c>
      <c r="F77" s="13">
        <v>470150</v>
      </c>
      <c r="G77" s="13">
        <v>468441</v>
      </c>
      <c r="H77" s="13">
        <v>468867</v>
      </c>
      <c r="I77" s="13">
        <v>322125000000</v>
      </c>
      <c r="J77" s="35" t="str">
        <f>TRIM(data__2[[#This Row],[Month (old)]])</f>
        <v>November</v>
      </c>
      <c r="K77" s="35" t="str">
        <f>TRIM(data__2[[#This Row],[Symbol (old)]])</f>
        <v>SP500</v>
      </c>
      <c r="L77" s="36" t="str">
        <f>LEFT(data__2[[#This Row],[Month (old2)]], 3)</f>
        <v>Nov</v>
      </c>
    </row>
    <row r="78" spans="2:12" x14ac:dyDescent="0.25">
      <c r="B78" s="33">
        <v>44517</v>
      </c>
      <c r="C78" s="34" t="s">
        <v>15</v>
      </c>
      <c r="D78" s="34" t="s">
        <v>5</v>
      </c>
      <c r="E78" s="13">
        <v>5905045</v>
      </c>
      <c r="F78" s="13">
        <v>6097625</v>
      </c>
      <c r="G78" s="13">
        <v>5843480</v>
      </c>
      <c r="H78" s="13">
        <v>5988521</v>
      </c>
      <c r="I78" s="13">
        <v>179484</v>
      </c>
      <c r="J78" s="35" t="str">
        <f>TRIM(data__2[[#This Row],[Month (old)]])</f>
        <v>Nov</v>
      </c>
      <c r="K78" s="35" t="str">
        <f>TRIM(data__2[[#This Row],[Symbol (old)]])</f>
        <v>BTCUSD</v>
      </c>
      <c r="L78" s="36" t="str">
        <f>LEFT(data__2[[#This Row],[Month (old2)]], 3)</f>
        <v>Nov</v>
      </c>
    </row>
    <row r="79" spans="2:12" x14ac:dyDescent="0.25">
      <c r="B79" s="33">
        <v>44516</v>
      </c>
      <c r="C79" s="34" t="s">
        <v>27</v>
      </c>
      <c r="D79" s="34" t="s">
        <v>18</v>
      </c>
      <c r="E79" s="13">
        <v>467942</v>
      </c>
      <c r="F79" s="13">
        <v>471495</v>
      </c>
      <c r="G79" s="13">
        <v>467942</v>
      </c>
      <c r="H79" s="13">
        <v>470090</v>
      </c>
      <c r="I79" s="13">
        <v>283821000000</v>
      </c>
      <c r="J79" s="35" t="str">
        <f>TRIM(data__2[[#This Row],[Month (old)]])</f>
        <v>November</v>
      </c>
      <c r="K79" s="35" t="str">
        <f>TRIM(data__2[[#This Row],[Symbol (old)]])</f>
        <v>SP500</v>
      </c>
      <c r="L79" s="36" t="str">
        <f>LEFT(data__2[[#This Row],[Month (old2)]], 3)</f>
        <v>Nov</v>
      </c>
    </row>
    <row r="80" spans="2:12" x14ac:dyDescent="0.25">
      <c r="B80" s="33">
        <v>44516</v>
      </c>
      <c r="C80" s="34" t="s">
        <v>15</v>
      </c>
      <c r="D80" s="34" t="s">
        <v>5</v>
      </c>
      <c r="E80" s="13">
        <v>6094413</v>
      </c>
      <c r="F80" s="13">
        <v>6155853</v>
      </c>
      <c r="G80" s="13">
        <v>5857300</v>
      </c>
      <c r="H80" s="13">
        <v>5905045</v>
      </c>
      <c r="I80" s="13">
        <v>272520</v>
      </c>
      <c r="J80" s="35" t="str">
        <f>TRIM(data__2[[#This Row],[Month (old)]])</f>
        <v>Nov</v>
      </c>
      <c r="K80" s="35" t="str">
        <f>TRIM(data__2[[#This Row],[Symbol (old)]])</f>
        <v>BTCUSD</v>
      </c>
      <c r="L80" s="36" t="str">
        <f>LEFT(data__2[[#This Row],[Month (old2)]], 3)</f>
        <v>Nov</v>
      </c>
    </row>
    <row r="81" spans="2:12" x14ac:dyDescent="0.25">
      <c r="B81" s="33">
        <v>44515</v>
      </c>
      <c r="C81" s="34" t="s">
        <v>27</v>
      </c>
      <c r="D81" s="34" t="s">
        <v>18</v>
      </c>
      <c r="E81" s="13">
        <v>468930</v>
      </c>
      <c r="F81" s="13">
        <v>469742</v>
      </c>
      <c r="G81" s="13">
        <v>467286</v>
      </c>
      <c r="H81" s="13">
        <v>468280</v>
      </c>
      <c r="I81" s="13">
        <v>261898000000</v>
      </c>
      <c r="J81" s="35" t="str">
        <f>TRIM(data__2[[#This Row],[Month (old)]])</f>
        <v>November</v>
      </c>
      <c r="K81" s="35" t="str">
        <f>TRIM(data__2[[#This Row],[Symbol (old)]])</f>
        <v>SP500</v>
      </c>
      <c r="L81" s="36" t="str">
        <f>LEFT(data__2[[#This Row],[Month (old2)]], 3)</f>
        <v>Nov</v>
      </c>
    </row>
    <row r="82" spans="2:12" x14ac:dyDescent="0.25">
      <c r="B82" s="33">
        <v>44515</v>
      </c>
      <c r="C82" s="34" t="s">
        <v>15</v>
      </c>
      <c r="D82" s="34" t="s">
        <v>5</v>
      </c>
      <c r="E82" s="13">
        <v>6574418</v>
      </c>
      <c r="F82" s="13">
        <v>6634074</v>
      </c>
      <c r="G82" s="13">
        <v>6050300</v>
      </c>
      <c r="H82" s="13">
        <v>6094413</v>
      </c>
      <c r="I82" s="13">
        <v>179080</v>
      </c>
      <c r="J82" s="35" t="str">
        <f>TRIM(data__2[[#This Row],[Month (old)]])</f>
        <v>Nov</v>
      </c>
      <c r="K82" s="35" t="str">
        <f>TRIM(data__2[[#This Row],[Symbol (old)]])</f>
        <v>BTCUSD</v>
      </c>
      <c r="L82" s="36" t="str">
        <f>LEFT(data__2[[#This Row],[Month (old2)]], 3)</f>
        <v>Nov</v>
      </c>
    </row>
    <row r="83" spans="2:12" x14ac:dyDescent="0.25">
      <c r="B83" s="33">
        <v>44514</v>
      </c>
      <c r="C83" s="34" t="s">
        <v>15</v>
      </c>
      <c r="D83" s="34" t="s">
        <v>5</v>
      </c>
      <c r="E83" s="13">
        <v>6467328</v>
      </c>
      <c r="F83" s="13">
        <v>6620000</v>
      </c>
      <c r="G83" s="13">
        <v>6360220</v>
      </c>
      <c r="H83" s="13">
        <v>6574418</v>
      </c>
      <c r="I83" s="13">
        <v>52850</v>
      </c>
      <c r="J83" s="35" t="str">
        <f>TRIM(data__2[[#This Row],[Month (old)]])</f>
        <v>Nov</v>
      </c>
      <c r="K83" s="35" t="str">
        <f>TRIM(data__2[[#This Row],[Symbol (old)]])</f>
        <v>BTCUSD</v>
      </c>
      <c r="L83" s="36" t="str">
        <f>LEFT(data__2[[#This Row],[Month (old2)]], 3)</f>
        <v>Nov</v>
      </c>
    </row>
    <row r="84" spans="2:12" x14ac:dyDescent="0.25">
      <c r="B84" s="33">
        <v>44513</v>
      </c>
      <c r="C84" s="34" t="s">
        <v>15</v>
      </c>
      <c r="D84" s="34" t="s">
        <v>5</v>
      </c>
      <c r="E84" s="13">
        <v>6380512</v>
      </c>
      <c r="F84" s="13">
        <v>6533887</v>
      </c>
      <c r="G84" s="13">
        <v>6340949</v>
      </c>
      <c r="H84" s="13">
        <v>6467328</v>
      </c>
      <c r="I84" s="13">
        <v>31001</v>
      </c>
      <c r="J84" s="35" t="str">
        <f>TRIM(data__2[[#This Row],[Month (old)]])</f>
        <v>Nov</v>
      </c>
      <c r="K84" s="35" t="str">
        <f>TRIM(data__2[[#This Row],[Symbol (old)]])</f>
        <v>BTCUSD</v>
      </c>
      <c r="L84" s="36" t="str">
        <f>LEFT(data__2[[#This Row],[Month (old2)]], 3)</f>
        <v>Nov</v>
      </c>
    </row>
    <row r="85" spans="2:12" x14ac:dyDescent="0.25">
      <c r="B85" s="33">
        <v>44512</v>
      </c>
      <c r="C85" s="34" t="s">
        <v>27</v>
      </c>
      <c r="D85" s="34" t="s">
        <v>18</v>
      </c>
      <c r="E85" s="13">
        <v>465524</v>
      </c>
      <c r="F85" s="13">
        <v>468847</v>
      </c>
      <c r="G85" s="13">
        <v>465077</v>
      </c>
      <c r="H85" s="13">
        <v>468285</v>
      </c>
      <c r="I85" s="13">
        <v>286579000000</v>
      </c>
      <c r="J85" s="35" t="str">
        <f>TRIM(data__2[[#This Row],[Month (old)]])</f>
        <v>November</v>
      </c>
      <c r="K85" s="35" t="str">
        <f>TRIM(data__2[[#This Row],[Symbol (old)]])</f>
        <v>SP500</v>
      </c>
      <c r="L85" s="36" t="str">
        <f>LEFT(data__2[[#This Row],[Month (old2)]], 3)</f>
        <v>Nov</v>
      </c>
    </row>
    <row r="86" spans="2:12" x14ac:dyDescent="0.25">
      <c r="B86" s="33">
        <v>44512</v>
      </c>
      <c r="C86" s="34" t="s">
        <v>15</v>
      </c>
      <c r="D86" s="34" t="s">
        <v>5</v>
      </c>
      <c r="E86" s="13">
        <v>6485763</v>
      </c>
      <c r="F86" s="13">
        <v>6507149</v>
      </c>
      <c r="G86" s="13">
        <v>6287500</v>
      </c>
      <c r="H86" s="13">
        <v>6380512</v>
      </c>
      <c r="I86" s="13">
        <v>146629</v>
      </c>
      <c r="J86" s="35" t="str">
        <f>TRIM(data__2[[#This Row],[Month (old)]])</f>
        <v>Nov</v>
      </c>
      <c r="K86" s="35" t="str">
        <f>TRIM(data__2[[#This Row],[Symbol (old)]])</f>
        <v>BTCUSD</v>
      </c>
      <c r="L86" s="36" t="str">
        <f>LEFT(data__2[[#This Row],[Month (old2)]], 3)</f>
        <v>Nov</v>
      </c>
    </row>
    <row r="87" spans="2:12" x14ac:dyDescent="0.25">
      <c r="B87" s="33">
        <v>44511</v>
      </c>
      <c r="C87" s="34" t="s">
        <v>27</v>
      </c>
      <c r="D87" s="34" t="s">
        <v>18</v>
      </c>
      <c r="E87" s="13">
        <v>465939</v>
      </c>
      <c r="F87" s="13">
        <v>466455</v>
      </c>
      <c r="G87" s="13">
        <v>464831</v>
      </c>
      <c r="H87" s="13">
        <v>464927</v>
      </c>
      <c r="I87" s="13">
        <v>262314000000</v>
      </c>
      <c r="J87" s="35" t="str">
        <f>TRIM(data__2[[#This Row],[Month (old)]])</f>
        <v>November</v>
      </c>
      <c r="K87" s="35" t="str">
        <f>TRIM(data__2[[#This Row],[Symbol (old)]])</f>
        <v>SP500</v>
      </c>
      <c r="L87" s="36" t="str">
        <f>LEFT(data__2[[#This Row],[Month (old2)]], 3)</f>
        <v>Nov</v>
      </c>
    </row>
    <row r="88" spans="2:12" x14ac:dyDescent="0.25">
      <c r="B88" s="33">
        <v>44511</v>
      </c>
      <c r="C88" s="34" t="s">
        <v>15</v>
      </c>
      <c r="D88" s="34" t="s">
        <v>5</v>
      </c>
      <c r="E88" s="13">
        <v>6478534</v>
      </c>
      <c r="F88" s="13">
        <v>6558700</v>
      </c>
      <c r="G88" s="13">
        <v>6412100</v>
      </c>
      <c r="H88" s="13">
        <v>6485763</v>
      </c>
      <c r="I88" s="13">
        <v>105051</v>
      </c>
      <c r="J88" s="35" t="str">
        <f>TRIM(data__2[[#This Row],[Month (old)]])</f>
        <v>Nov</v>
      </c>
      <c r="K88" s="35" t="str">
        <f>TRIM(data__2[[#This Row],[Symbol (old)]])</f>
        <v>BTCUSD</v>
      </c>
      <c r="L88" s="36" t="str">
        <f>LEFT(data__2[[#This Row],[Month (old2)]], 3)</f>
        <v>Nov</v>
      </c>
    </row>
    <row r="89" spans="2:12" x14ac:dyDescent="0.25">
      <c r="B89" s="33">
        <v>44510</v>
      </c>
      <c r="C89" s="34" t="s">
        <v>27</v>
      </c>
      <c r="D89" s="34" t="s">
        <v>18</v>
      </c>
      <c r="E89" s="13">
        <v>467026</v>
      </c>
      <c r="F89" s="13">
        <v>468485</v>
      </c>
      <c r="G89" s="13">
        <v>463086</v>
      </c>
      <c r="H89" s="13">
        <v>464671</v>
      </c>
      <c r="I89" s="13">
        <v>358163000000</v>
      </c>
      <c r="J89" s="35" t="str">
        <f>TRIM(data__2[[#This Row],[Month (old)]])</f>
        <v>November</v>
      </c>
      <c r="K89" s="35" t="str">
        <f>TRIM(data__2[[#This Row],[Symbol (old)]])</f>
        <v>SP500</v>
      </c>
      <c r="L89" s="36" t="str">
        <f>LEFT(data__2[[#This Row],[Month (old2)]], 3)</f>
        <v>Nov</v>
      </c>
    </row>
    <row r="90" spans="2:12" x14ac:dyDescent="0.25">
      <c r="B90" s="33">
        <v>44510</v>
      </c>
      <c r="C90" s="34" t="s">
        <v>15</v>
      </c>
      <c r="D90" s="34" t="s">
        <v>5</v>
      </c>
      <c r="E90" s="13">
        <v>6649125</v>
      </c>
      <c r="F90" s="13">
        <v>6900000</v>
      </c>
      <c r="G90" s="13">
        <v>6292797</v>
      </c>
      <c r="H90" s="13">
        <v>6478534</v>
      </c>
      <c r="I90" s="13">
        <v>296658</v>
      </c>
      <c r="J90" s="35" t="str">
        <f>TRIM(data__2[[#This Row],[Month (old)]])</f>
        <v>Nov</v>
      </c>
      <c r="K90" s="35" t="str">
        <f>TRIM(data__2[[#This Row],[Symbol (old)]])</f>
        <v>BTCUSD</v>
      </c>
      <c r="L90" s="36" t="str">
        <f>LEFT(data__2[[#This Row],[Month (old2)]], 3)</f>
        <v>Nov</v>
      </c>
    </row>
    <row r="91" spans="2:12" x14ac:dyDescent="0.25">
      <c r="B91" s="33">
        <v>44509</v>
      </c>
      <c r="C91" s="34" t="s">
        <v>27</v>
      </c>
      <c r="D91" s="34" t="s">
        <v>18</v>
      </c>
      <c r="E91" s="13">
        <v>470725</v>
      </c>
      <c r="F91" s="13">
        <v>470853</v>
      </c>
      <c r="G91" s="13">
        <v>467087</v>
      </c>
      <c r="H91" s="13">
        <v>468525</v>
      </c>
      <c r="I91" s="13">
        <v>311023000000</v>
      </c>
      <c r="J91" s="35" t="str">
        <f>TRIM(data__2[[#This Row],[Month (old)]])</f>
        <v>November</v>
      </c>
      <c r="K91" s="35" t="str">
        <f>TRIM(data__2[[#This Row],[Symbol (old)]])</f>
        <v>SP500</v>
      </c>
      <c r="L91" s="36" t="str">
        <f>LEFT(data__2[[#This Row],[Month (old2)]], 3)</f>
        <v>Nov</v>
      </c>
    </row>
    <row r="92" spans="2:12" x14ac:dyDescent="0.25">
      <c r="B92" s="33">
        <v>44509</v>
      </c>
      <c r="C92" s="34" t="s">
        <v>15</v>
      </c>
      <c r="D92" s="34" t="s">
        <v>5</v>
      </c>
      <c r="E92" s="13">
        <v>6852575</v>
      </c>
      <c r="F92" s="13">
        <v>6852952</v>
      </c>
      <c r="G92" s="13">
        <v>6626248</v>
      </c>
      <c r="H92" s="13">
        <v>6649125</v>
      </c>
      <c r="I92" s="13">
        <v>122946</v>
      </c>
      <c r="J92" s="35" t="str">
        <f>TRIM(data__2[[#This Row],[Month (old)]])</f>
        <v>Nov</v>
      </c>
      <c r="K92" s="35" t="str">
        <f>TRIM(data__2[[#This Row],[Symbol (old)]])</f>
        <v>BTCUSD</v>
      </c>
      <c r="L92" s="36" t="str">
        <f>LEFT(data__2[[#This Row],[Month (old2)]], 3)</f>
        <v>Nov</v>
      </c>
    </row>
    <row r="93" spans="2:12" x14ac:dyDescent="0.25">
      <c r="B93" s="33">
        <v>44508</v>
      </c>
      <c r="C93" s="34" t="s">
        <v>27</v>
      </c>
      <c r="D93" s="34" t="s">
        <v>18</v>
      </c>
      <c r="E93" s="13">
        <v>470148</v>
      </c>
      <c r="F93" s="13">
        <v>471492</v>
      </c>
      <c r="G93" s="13">
        <v>469439</v>
      </c>
      <c r="H93" s="13">
        <v>470170</v>
      </c>
      <c r="I93" s="13">
        <v>346572000000</v>
      </c>
      <c r="J93" s="35" t="str">
        <f>TRIM(data__2[[#This Row],[Month (old)]])</f>
        <v>November</v>
      </c>
      <c r="K93" s="35" t="str">
        <f>TRIM(data__2[[#This Row],[Symbol (old)]])</f>
        <v>SP500</v>
      </c>
      <c r="L93" s="36" t="str">
        <f>LEFT(data__2[[#This Row],[Month (old2)]], 3)</f>
        <v>Nov</v>
      </c>
    </row>
    <row r="94" spans="2:12" x14ac:dyDescent="0.25">
      <c r="B94" s="33">
        <v>44508</v>
      </c>
      <c r="C94" s="34" t="s">
        <v>15</v>
      </c>
      <c r="D94" s="34" t="s">
        <v>5</v>
      </c>
      <c r="E94" s="13">
        <v>6523520</v>
      </c>
      <c r="F94" s="13">
        <v>6853411</v>
      </c>
      <c r="G94" s="13">
        <v>6513800</v>
      </c>
      <c r="H94" s="13">
        <v>6852575</v>
      </c>
      <c r="I94" s="13">
        <v>142108</v>
      </c>
      <c r="J94" s="35" t="str">
        <f>TRIM(data__2[[#This Row],[Month (old)]])</f>
        <v>Nov</v>
      </c>
      <c r="K94" s="35" t="str">
        <f>TRIM(data__2[[#This Row],[Symbol (old)]])</f>
        <v>BTCUSD</v>
      </c>
      <c r="L94" s="36" t="str">
        <f>LEFT(data__2[[#This Row],[Month (old2)]], 3)</f>
        <v>Nov</v>
      </c>
    </row>
    <row r="95" spans="2:12" x14ac:dyDescent="0.25">
      <c r="B95" s="33">
        <v>44507</v>
      </c>
      <c r="C95" s="34" t="s">
        <v>15</v>
      </c>
      <c r="D95" s="34" t="s">
        <v>5</v>
      </c>
      <c r="E95" s="13">
        <v>6219969</v>
      </c>
      <c r="F95" s="13">
        <v>6568000</v>
      </c>
      <c r="G95" s="13">
        <v>6153732</v>
      </c>
      <c r="H95" s="13">
        <v>6523520</v>
      </c>
      <c r="I95" s="13">
        <v>89282</v>
      </c>
      <c r="J95" s="35" t="str">
        <f>TRIM(data__2[[#This Row],[Month (old)]])</f>
        <v>Nov</v>
      </c>
      <c r="K95" s="35" t="str">
        <f>TRIM(data__2[[#This Row],[Symbol (old)]])</f>
        <v>BTCUSD</v>
      </c>
      <c r="L95" s="36" t="str">
        <f>LEFT(data__2[[#This Row],[Month (old2)]], 3)</f>
        <v>Nov</v>
      </c>
    </row>
    <row r="96" spans="2:12" x14ac:dyDescent="0.25">
      <c r="B96" s="33">
        <v>44506</v>
      </c>
      <c r="C96" s="34" t="s">
        <v>15</v>
      </c>
      <c r="D96" s="34" t="s">
        <v>5</v>
      </c>
      <c r="E96" s="13">
        <v>6117203</v>
      </c>
      <c r="F96" s="13">
        <v>6233816</v>
      </c>
      <c r="G96" s="13">
        <v>6012000</v>
      </c>
      <c r="H96" s="13">
        <v>6219969</v>
      </c>
      <c r="I96" s="13">
        <v>75838</v>
      </c>
      <c r="J96" s="35" t="str">
        <f>TRIM(data__2[[#This Row],[Month (old)]])</f>
        <v>Nov</v>
      </c>
      <c r="K96" s="35" t="str">
        <f>TRIM(data__2[[#This Row],[Symbol (old)]])</f>
        <v>BTCUSD</v>
      </c>
      <c r="L96" s="36" t="str">
        <f>LEFT(data__2[[#This Row],[Month (old2)]], 3)</f>
        <v>Nov</v>
      </c>
    </row>
    <row r="97" spans="2:12" x14ac:dyDescent="0.25">
      <c r="B97" s="33">
        <v>44505</v>
      </c>
      <c r="C97" s="34" t="s">
        <v>27</v>
      </c>
      <c r="D97" s="34" t="s">
        <v>18</v>
      </c>
      <c r="E97" s="13">
        <v>469926</v>
      </c>
      <c r="F97" s="13">
        <v>471850</v>
      </c>
      <c r="G97" s="13">
        <v>468132</v>
      </c>
      <c r="H97" s="13">
        <v>469753</v>
      </c>
      <c r="I97" s="13">
        <v>349115000000</v>
      </c>
      <c r="J97" s="35" t="str">
        <f>TRIM(data__2[[#This Row],[Month (old)]])</f>
        <v>November</v>
      </c>
      <c r="K97" s="35" t="str">
        <f>TRIM(data__2[[#This Row],[Symbol (old)]])</f>
        <v>SP500</v>
      </c>
      <c r="L97" s="36" t="str">
        <f>LEFT(data__2[[#This Row],[Month (old2)]], 3)</f>
        <v>Nov</v>
      </c>
    </row>
    <row r="98" spans="2:12" x14ac:dyDescent="0.25">
      <c r="B98" s="33">
        <v>44505</v>
      </c>
      <c r="C98" s="34" t="s">
        <v>15</v>
      </c>
      <c r="D98" s="34" t="s">
        <v>5</v>
      </c>
      <c r="E98" s="13">
        <v>6224960</v>
      </c>
      <c r="F98" s="13">
        <v>6400000</v>
      </c>
      <c r="G98" s="13">
        <v>6077730</v>
      </c>
      <c r="H98" s="13">
        <v>6117203</v>
      </c>
      <c r="I98" s="13">
        <v>104391</v>
      </c>
      <c r="J98" s="35" t="str">
        <f>TRIM(data__2[[#This Row],[Month (old)]])</f>
        <v>Nov</v>
      </c>
      <c r="K98" s="35" t="str">
        <f>TRIM(data__2[[#This Row],[Symbol (old)]])</f>
        <v>BTCUSD</v>
      </c>
      <c r="L98" s="36" t="str">
        <f>LEFT(data__2[[#This Row],[Month (old2)]], 3)</f>
        <v>Nov</v>
      </c>
    </row>
    <row r="99" spans="2:12" x14ac:dyDescent="0.25">
      <c r="B99" s="33">
        <v>44504</v>
      </c>
      <c r="C99" s="34" t="s">
        <v>27</v>
      </c>
      <c r="D99" s="34" t="s">
        <v>18</v>
      </c>
      <c r="E99" s="13">
        <v>466293</v>
      </c>
      <c r="F99" s="13">
        <v>468300</v>
      </c>
      <c r="G99" s="13">
        <v>466259</v>
      </c>
      <c r="H99" s="13">
        <v>468006</v>
      </c>
      <c r="I99" s="13">
        <v>333294000000</v>
      </c>
      <c r="J99" s="35" t="str">
        <f>TRIM(data__2[[#This Row],[Month (old)]])</f>
        <v>November</v>
      </c>
      <c r="K99" s="35" t="str">
        <f>TRIM(data__2[[#This Row],[Symbol (old)]])</f>
        <v>SP500</v>
      </c>
      <c r="L99" s="36" t="str">
        <f>LEFT(data__2[[#This Row],[Month (old2)]], 3)</f>
        <v>Nov</v>
      </c>
    </row>
    <row r="100" spans="2:12" x14ac:dyDescent="0.25">
      <c r="B100" s="33">
        <v>44504</v>
      </c>
      <c r="C100" s="34" t="s">
        <v>15</v>
      </c>
      <c r="D100" s="34" t="s">
        <v>5</v>
      </c>
      <c r="E100" s="13">
        <v>6246983</v>
      </c>
      <c r="F100" s="13">
        <v>6285883</v>
      </c>
      <c r="G100" s="13">
        <v>6072416</v>
      </c>
      <c r="H100" s="13">
        <v>6224960</v>
      </c>
      <c r="I100" s="13">
        <v>103653</v>
      </c>
      <c r="J100" s="35" t="str">
        <f>TRIM(data__2[[#This Row],[Month (old)]])</f>
        <v>Nov</v>
      </c>
      <c r="K100" s="35" t="str">
        <f>TRIM(data__2[[#This Row],[Symbol (old)]])</f>
        <v>BTCUSD</v>
      </c>
      <c r="L100" s="36" t="str">
        <f>LEFT(data__2[[#This Row],[Month (old2)]], 3)</f>
        <v>Nov</v>
      </c>
    </row>
    <row r="101" spans="2:12" x14ac:dyDescent="0.25">
      <c r="B101" s="33">
        <v>44503</v>
      </c>
      <c r="C101" s="34" t="s">
        <v>27</v>
      </c>
      <c r="D101" s="34" t="s">
        <v>18</v>
      </c>
      <c r="E101" s="13">
        <v>463065</v>
      </c>
      <c r="F101" s="13">
        <v>466346</v>
      </c>
      <c r="G101" s="13">
        <v>462119</v>
      </c>
      <c r="H101" s="13">
        <v>466057</v>
      </c>
      <c r="I101" s="13">
        <v>333944000000</v>
      </c>
      <c r="J101" s="35" t="str">
        <f>TRIM(data__2[[#This Row],[Month (old)]])</f>
        <v>November</v>
      </c>
      <c r="K101" s="35" t="str">
        <f>TRIM(data__2[[#This Row],[Symbol (old)]])</f>
        <v>SP500</v>
      </c>
      <c r="L101" s="36" t="str">
        <f>LEFT(data__2[[#This Row],[Month (old2)]], 3)</f>
        <v>Nov</v>
      </c>
    </row>
    <row r="102" spans="2:12" x14ac:dyDescent="0.25">
      <c r="B102" s="33">
        <v>44503</v>
      </c>
      <c r="C102" s="34" t="s">
        <v>15</v>
      </c>
      <c r="D102" s="34" t="s">
        <v>5</v>
      </c>
      <c r="E102" s="13">
        <v>6325757</v>
      </c>
      <c r="F102" s="13">
        <v>6354754</v>
      </c>
      <c r="G102" s="13">
        <v>6011000</v>
      </c>
      <c r="H102" s="13">
        <v>6246983</v>
      </c>
      <c r="I102" s="13">
        <v>144849</v>
      </c>
      <c r="J102" s="35" t="str">
        <f>TRIM(data__2[[#This Row],[Month (old)]])</f>
        <v>Nov</v>
      </c>
      <c r="K102" s="35" t="str">
        <f>TRIM(data__2[[#This Row],[Symbol (old)]])</f>
        <v>BTCUSD</v>
      </c>
      <c r="L102" s="36" t="str">
        <f>LEFT(data__2[[#This Row],[Month (old2)]], 3)</f>
        <v>Nov</v>
      </c>
    </row>
    <row r="103" spans="2:12" x14ac:dyDescent="0.25">
      <c r="B103" s="33">
        <v>44502</v>
      </c>
      <c r="C103" s="34" t="s">
        <v>27</v>
      </c>
      <c r="D103" s="34" t="s">
        <v>18</v>
      </c>
      <c r="E103" s="13">
        <v>461334</v>
      </c>
      <c r="F103" s="13">
        <v>463515</v>
      </c>
      <c r="G103" s="13">
        <v>461334</v>
      </c>
      <c r="H103" s="13">
        <v>463065</v>
      </c>
      <c r="I103" s="13">
        <v>330969000000</v>
      </c>
      <c r="J103" s="35" t="str">
        <f>TRIM(data__2[[#This Row],[Month (old)]])</f>
        <v>November</v>
      </c>
      <c r="K103" s="35" t="str">
        <f>TRIM(data__2[[#This Row],[Symbol (old)]])</f>
        <v>SP500</v>
      </c>
      <c r="L103" s="36" t="str">
        <f>LEFT(data__2[[#This Row],[Month (old2)]], 3)</f>
        <v>Nov</v>
      </c>
    </row>
    <row r="104" spans="2:12" x14ac:dyDescent="0.25">
      <c r="B104" s="33">
        <v>44502</v>
      </c>
      <c r="C104" s="34" t="s">
        <v>15</v>
      </c>
      <c r="D104" s="34" t="s">
        <v>5</v>
      </c>
      <c r="E104" s="13">
        <v>6113324</v>
      </c>
      <c r="F104" s="13">
        <v>6431900</v>
      </c>
      <c r="G104" s="13">
        <v>6112450</v>
      </c>
      <c r="H104" s="13">
        <v>6325757</v>
      </c>
      <c r="I104" s="13">
        <v>179190</v>
      </c>
      <c r="J104" s="35" t="str">
        <f>TRIM(data__2[[#This Row],[Month (old)]])</f>
        <v>Nov</v>
      </c>
      <c r="K104" s="35" t="str">
        <f>TRIM(data__2[[#This Row],[Symbol (old)]])</f>
        <v>BTCUSD</v>
      </c>
      <c r="L104" s="36" t="str">
        <f>LEFT(data__2[[#This Row],[Month (old2)]], 3)</f>
        <v>Nov</v>
      </c>
    </row>
    <row r="105" spans="2:12" x14ac:dyDescent="0.25">
      <c r="B105" s="33">
        <v>44501</v>
      </c>
      <c r="C105" s="34" t="s">
        <v>27</v>
      </c>
      <c r="D105" s="34" t="s">
        <v>18</v>
      </c>
      <c r="E105" s="13">
        <v>461062</v>
      </c>
      <c r="F105" s="13">
        <v>462034</v>
      </c>
      <c r="G105" s="13">
        <v>459506</v>
      </c>
      <c r="H105" s="13">
        <v>461367</v>
      </c>
      <c r="I105" s="13">
        <v>292400000000</v>
      </c>
      <c r="J105" s="35" t="str">
        <f>TRIM(data__2[[#This Row],[Month (old)]])</f>
        <v>November</v>
      </c>
      <c r="K105" s="35" t="str">
        <f>TRIM(data__2[[#This Row],[Symbol (old)]])</f>
        <v>SP500</v>
      </c>
      <c r="L105" s="36" t="str">
        <f>LEFT(data__2[[#This Row],[Month (old2)]], 3)</f>
        <v>Nov</v>
      </c>
    </row>
    <row r="106" spans="2:12" x14ac:dyDescent="0.25">
      <c r="B106" s="33">
        <v>44501</v>
      </c>
      <c r="C106" s="34" t="s">
        <v>15</v>
      </c>
      <c r="D106" s="34" t="s">
        <v>5</v>
      </c>
      <c r="E106" s="13">
        <v>5994701</v>
      </c>
      <c r="F106" s="13">
        <v>6249000</v>
      </c>
      <c r="G106" s="13">
        <v>5949018</v>
      </c>
      <c r="H106" s="13">
        <v>6113324</v>
      </c>
      <c r="I106" s="13">
        <v>148856</v>
      </c>
      <c r="J106" s="35" t="str">
        <f>TRIM(data__2[[#This Row],[Month (old)]])</f>
        <v>Nov</v>
      </c>
      <c r="K106" s="35" t="str">
        <f>TRIM(data__2[[#This Row],[Symbol (old)]])</f>
        <v>BTCUSD</v>
      </c>
      <c r="L106" s="36" t="str">
        <f>LEFT(data__2[[#This Row],[Month (old2)]], 3)</f>
        <v>Nov</v>
      </c>
    </row>
    <row r="107" spans="2:12" x14ac:dyDescent="0.25">
      <c r="B107" s="33">
        <v>44500</v>
      </c>
      <c r="C107" s="34" t="s">
        <v>14</v>
      </c>
      <c r="D107" s="34" t="s">
        <v>5</v>
      </c>
      <c r="E107" s="13">
        <v>6171910</v>
      </c>
      <c r="F107" s="13">
        <v>6176800</v>
      </c>
      <c r="G107" s="13">
        <v>5973157</v>
      </c>
      <c r="H107" s="13">
        <v>5994701</v>
      </c>
      <c r="I107" s="13">
        <v>97565</v>
      </c>
      <c r="J107" s="35" t="str">
        <f>TRIM(data__2[[#This Row],[Month (old)]])</f>
        <v>Oct</v>
      </c>
      <c r="K107" s="35" t="str">
        <f>TRIM(data__2[[#This Row],[Symbol (old)]])</f>
        <v>BTCUSD</v>
      </c>
      <c r="L107" s="36" t="str">
        <f>LEFT(data__2[[#This Row],[Month (old2)]], 3)</f>
        <v>Oct</v>
      </c>
    </row>
    <row r="108" spans="2:12" x14ac:dyDescent="0.25">
      <c r="B108" s="33">
        <v>44499</v>
      </c>
      <c r="C108" s="34" t="s">
        <v>14</v>
      </c>
      <c r="D108" s="34" t="s">
        <v>5</v>
      </c>
      <c r="E108" s="13">
        <v>6166943</v>
      </c>
      <c r="F108" s="13">
        <v>6248797</v>
      </c>
      <c r="G108" s="13">
        <v>6069652</v>
      </c>
      <c r="H108" s="13">
        <v>6171910</v>
      </c>
      <c r="I108" s="13">
        <v>111681</v>
      </c>
      <c r="J108" s="35" t="str">
        <f>TRIM(data__2[[#This Row],[Month (old)]])</f>
        <v>Oct</v>
      </c>
      <c r="K108" s="35" t="str">
        <f>TRIM(data__2[[#This Row],[Symbol (old)]])</f>
        <v>BTCUSD</v>
      </c>
      <c r="L108" s="36" t="str">
        <f>LEFT(data__2[[#This Row],[Month (old2)]], 3)</f>
        <v>Oct</v>
      </c>
    </row>
    <row r="109" spans="2:12" x14ac:dyDescent="0.25">
      <c r="B109" s="33">
        <v>44498</v>
      </c>
      <c r="C109" s="34" t="s">
        <v>26</v>
      </c>
      <c r="D109" s="34" t="s">
        <v>18</v>
      </c>
      <c r="E109" s="13">
        <v>457287</v>
      </c>
      <c r="F109" s="13">
        <v>460808</v>
      </c>
      <c r="G109" s="13">
        <v>456759</v>
      </c>
      <c r="H109" s="13">
        <v>460538</v>
      </c>
      <c r="I109" s="13">
        <v>363226000000</v>
      </c>
      <c r="J109" s="35" t="str">
        <f>TRIM(data__2[[#This Row],[Month (old)]])</f>
        <v>October</v>
      </c>
      <c r="K109" s="35" t="str">
        <f>TRIM(data__2[[#This Row],[Symbol (old)]])</f>
        <v>SP500</v>
      </c>
      <c r="L109" s="36" t="str">
        <f>LEFT(data__2[[#This Row],[Month (old2)]], 3)</f>
        <v>Oct</v>
      </c>
    </row>
    <row r="110" spans="2:12" x14ac:dyDescent="0.25">
      <c r="B110" s="33">
        <v>44498</v>
      </c>
      <c r="C110" s="34" t="s">
        <v>14</v>
      </c>
      <c r="D110" s="34" t="s">
        <v>5</v>
      </c>
      <c r="E110" s="13">
        <v>6170636</v>
      </c>
      <c r="F110" s="13">
        <v>6297800</v>
      </c>
      <c r="G110" s="13">
        <v>6036700</v>
      </c>
      <c r="H110" s="13">
        <v>6166943</v>
      </c>
      <c r="I110" s="13">
        <v>173713</v>
      </c>
      <c r="J110" s="35" t="str">
        <f>TRIM(data__2[[#This Row],[Month (old)]])</f>
        <v>Oct</v>
      </c>
      <c r="K110" s="35" t="str">
        <f>TRIM(data__2[[#This Row],[Symbol (old)]])</f>
        <v>BTCUSD</v>
      </c>
      <c r="L110" s="36" t="str">
        <f>LEFT(data__2[[#This Row],[Month (old2)]], 3)</f>
        <v>Oct</v>
      </c>
    </row>
    <row r="111" spans="2:12" x14ac:dyDescent="0.25">
      <c r="B111" s="33">
        <v>44497</v>
      </c>
      <c r="C111" s="34" t="s">
        <v>26</v>
      </c>
      <c r="D111" s="34" t="s">
        <v>18</v>
      </c>
      <c r="E111" s="13">
        <v>456284</v>
      </c>
      <c r="F111" s="13">
        <v>459755</v>
      </c>
      <c r="G111" s="13">
        <v>456284</v>
      </c>
      <c r="H111" s="13">
        <v>459642</v>
      </c>
      <c r="I111" s="13">
        <v>319756000000</v>
      </c>
      <c r="J111" s="35" t="str">
        <f>TRIM(data__2[[#This Row],[Month (old)]])</f>
        <v>October</v>
      </c>
      <c r="K111" s="35" t="str">
        <f>TRIM(data__2[[#This Row],[Symbol (old)]])</f>
        <v>SP500</v>
      </c>
      <c r="L111" s="36" t="str">
        <f>LEFT(data__2[[#This Row],[Month (old2)]], 3)</f>
        <v>Oct</v>
      </c>
    </row>
    <row r="112" spans="2:12" x14ac:dyDescent="0.25">
      <c r="B112" s="33">
        <v>44497</v>
      </c>
      <c r="C112" s="34" t="s">
        <v>14</v>
      </c>
      <c r="D112" s="34" t="s">
        <v>5</v>
      </c>
      <c r="E112" s="13">
        <v>5888470</v>
      </c>
      <c r="F112" s="13">
        <v>6250887</v>
      </c>
      <c r="G112" s="13">
        <v>5750000</v>
      </c>
      <c r="H112" s="13">
        <v>6170636</v>
      </c>
      <c r="I112" s="13">
        <v>278979</v>
      </c>
      <c r="J112" s="35" t="str">
        <f>TRIM(data__2[[#This Row],[Month (old)]])</f>
        <v>Oct</v>
      </c>
      <c r="K112" s="35" t="str">
        <f>TRIM(data__2[[#This Row],[Symbol (old)]])</f>
        <v>BTCUSD</v>
      </c>
      <c r="L112" s="36" t="str">
        <f>LEFT(data__2[[#This Row],[Month (old2)]], 3)</f>
        <v>Oct</v>
      </c>
    </row>
    <row r="113" spans="2:12" x14ac:dyDescent="0.25">
      <c r="B113" s="33">
        <v>44496</v>
      </c>
      <c r="C113" s="34" t="s">
        <v>26</v>
      </c>
      <c r="D113" s="34" t="s">
        <v>18</v>
      </c>
      <c r="E113" s="13">
        <v>458022</v>
      </c>
      <c r="F113" s="13">
        <v>458457</v>
      </c>
      <c r="G113" s="13">
        <v>455166</v>
      </c>
      <c r="H113" s="13">
        <v>455168</v>
      </c>
      <c r="I113" s="13">
        <v>325951000000</v>
      </c>
      <c r="J113" s="35" t="str">
        <f>TRIM(data__2[[#This Row],[Month (old)]])</f>
        <v>October</v>
      </c>
      <c r="K113" s="35" t="str">
        <f>TRIM(data__2[[#This Row],[Symbol (old)]])</f>
        <v>SP500</v>
      </c>
      <c r="L113" s="36" t="str">
        <f>LEFT(data__2[[#This Row],[Month (old2)]], 3)</f>
        <v>Oct</v>
      </c>
    </row>
    <row r="114" spans="2:12" x14ac:dyDescent="0.25">
      <c r="B114" s="33">
        <v>44496</v>
      </c>
      <c r="C114" s="34" t="s">
        <v>14</v>
      </c>
      <c r="D114" s="34" t="s">
        <v>5</v>
      </c>
      <c r="E114" s="13">
        <v>6072800</v>
      </c>
      <c r="F114" s="13">
        <v>6150000</v>
      </c>
      <c r="G114" s="13">
        <v>5810000</v>
      </c>
      <c r="H114" s="13">
        <v>5888470</v>
      </c>
      <c r="I114" s="13">
        <v>186512</v>
      </c>
      <c r="J114" s="35" t="str">
        <f>TRIM(data__2[[#This Row],[Month (old)]])</f>
        <v>Oct</v>
      </c>
      <c r="K114" s="35" t="str">
        <f>TRIM(data__2[[#This Row],[Symbol (old)]])</f>
        <v>BTCUSD</v>
      </c>
      <c r="L114" s="36" t="str">
        <f>LEFT(data__2[[#This Row],[Month (old2)]], 3)</f>
        <v>Oct</v>
      </c>
    </row>
    <row r="115" spans="2:12" x14ac:dyDescent="0.25">
      <c r="B115" s="33">
        <v>44495</v>
      </c>
      <c r="C115" s="34" t="s">
        <v>26</v>
      </c>
      <c r="D115" s="34" t="s">
        <v>18</v>
      </c>
      <c r="E115" s="13">
        <v>457869</v>
      </c>
      <c r="F115" s="13">
        <v>459853</v>
      </c>
      <c r="G115" s="13">
        <v>456917</v>
      </c>
      <c r="H115" s="13">
        <v>457479</v>
      </c>
      <c r="I115" s="13">
        <v>286650000000</v>
      </c>
      <c r="J115" s="35" t="str">
        <f>TRIM(data__2[[#This Row],[Month (old)]])</f>
        <v>October</v>
      </c>
      <c r="K115" s="35" t="str">
        <f>TRIM(data__2[[#This Row],[Symbol (old)]])</f>
        <v>SP500</v>
      </c>
      <c r="L115" s="36" t="str">
        <f>LEFT(data__2[[#This Row],[Month (old2)]], 3)</f>
        <v>Oct</v>
      </c>
    </row>
    <row r="116" spans="2:12" x14ac:dyDescent="0.25">
      <c r="B116" s="33">
        <v>44495</v>
      </c>
      <c r="C116" s="34" t="s">
        <v>14</v>
      </c>
      <c r="D116" s="34" t="s">
        <v>5</v>
      </c>
      <c r="E116" s="13">
        <v>6276547</v>
      </c>
      <c r="F116" s="13">
        <v>6310280</v>
      </c>
      <c r="G116" s="13">
        <v>5985000</v>
      </c>
      <c r="H116" s="13">
        <v>6072800</v>
      </c>
      <c r="I116" s="13">
        <v>127871</v>
      </c>
      <c r="J116" s="35" t="str">
        <f>TRIM(data__2[[#This Row],[Month (old)]])</f>
        <v>Oct</v>
      </c>
      <c r="K116" s="35" t="str">
        <f>TRIM(data__2[[#This Row],[Symbol (old)]])</f>
        <v>BTCUSD</v>
      </c>
      <c r="L116" s="36" t="str">
        <f>LEFT(data__2[[#This Row],[Month (old2)]], 3)</f>
        <v>Oct</v>
      </c>
    </row>
    <row r="117" spans="2:12" x14ac:dyDescent="0.25">
      <c r="B117" s="33">
        <v>44494</v>
      </c>
      <c r="C117" s="34" t="s">
        <v>26</v>
      </c>
      <c r="D117" s="34" t="s">
        <v>18</v>
      </c>
      <c r="E117" s="13">
        <v>455369</v>
      </c>
      <c r="F117" s="13">
        <v>457262</v>
      </c>
      <c r="G117" s="13">
        <v>453736</v>
      </c>
      <c r="H117" s="13">
        <v>456648</v>
      </c>
      <c r="I117" s="13">
        <v>325021000000</v>
      </c>
      <c r="J117" s="35" t="str">
        <f>TRIM(data__2[[#This Row],[Month (old)]])</f>
        <v>October</v>
      </c>
      <c r="K117" s="35" t="str">
        <f>TRIM(data__2[[#This Row],[Symbol (old)]])</f>
        <v>SP500</v>
      </c>
      <c r="L117" s="36" t="str">
        <f>LEFT(data__2[[#This Row],[Month (old2)]], 3)</f>
        <v>Oct</v>
      </c>
    </row>
    <row r="118" spans="2:12" x14ac:dyDescent="0.25">
      <c r="B118" s="33">
        <v>44494</v>
      </c>
      <c r="C118" s="34" t="s">
        <v>14</v>
      </c>
      <c r="D118" s="34" t="s">
        <v>5</v>
      </c>
      <c r="E118" s="13">
        <v>6209193</v>
      </c>
      <c r="F118" s="13">
        <v>6370330</v>
      </c>
      <c r="G118" s="13">
        <v>6182281</v>
      </c>
      <c r="H118" s="13">
        <v>6276547</v>
      </c>
      <c r="I118" s="13">
        <v>147709</v>
      </c>
      <c r="J118" s="35" t="str">
        <f>TRIM(data__2[[#This Row],[Month (old)]])</f>
        <v>Oct</v>
      </c>
      <c r="K118" s="35" t="str">
        <f>TRIM(data__2[[#This Row],[Symbol (old)]])</f>
        <v>BTCUSD</v>
      </c>
      <c r="L118" s="36" t="str">
        <f>LEFT(data__2[[#This Row],[Month (old2)]], 3)</f>
        <v>Oct</v>
      </c>
    </row>
    <row r="119" spans="2:12" x14ac:dyDescent="0.25">
      <c r="B119" s="33">
        <v>44493</v>
      </c>
      <c r="C119" s="34" t="s">
        <v>14</v>
      </c>
      <c r="D119" s="34" t="s">
        <v>5</v>
      </c>
      <c r="E119" s="13">
        <v>6122600</v>
      </c>
      <c r="F119" s="13">
        <v>6222314</v>
      </c>
      <c r="G119" s="13">
        <v>5950500</v>
      </c>
      <c r="H119" s="13">
        <v>6209193</v>
      </c>
      <c r="I119" s="13">
        <v>84870</v>
      </c>
      <c r="J119" s="35" t="str">
        <f>TRIM(data__2[[#This Row],[Month (old)]])</f>
        <v>Oct</v>
      </c>
      <c r="K119" s="35" t="str">
        <f>TRIM(data__2[[#This Row],[Symbol (old)]])</f>
        <v>BTCUSD</v>
      </c>
      <c r="L119" s="36" t="str">
        <f>LEFT(data__2[[#This Row],[Month (old2)]], 3)</f>
        <v>Oct</v>
      </c>
    </row>
    <row r="120" spans="2:12" x14ac:dyDescent="0.25">
      <c r="B120" s="33">
        <v>44492</v>
      </c>
      <c r="C120" s="34" t="s">
        <v>14</v>
      </c>
      <c r="D120" s="34" t="s">
        <v>5</v>
      </c>
      <c r="E120" s="13">
        <v>6123490</v>
      </c>
      <c r="F120" s="13">
        <v>6174351</v>
      </c>
      <c r="G120" s="13">
        <v>5964891</v>
      </c>
      <c r="H120" s="13">
        <v>6122600</v>
      </c>
      <c r="I120" s="13">
        <v>54368</v>
      </c>
      <c r="J120" s="35" t="str">
        <f>TRIM(data__2[[#This Row],[Month (old)]])</f>
        <v>Oct</v>
      </c>
      <c r="K120" s="35" t="str">
        <f>TRIM(data__2[[#This Row],[Symbol (old)]])</f>
        <v>BTCUSD</v>
      </c>
      <c r="L120" s="36" t="str">
        <f>LEFT(data__2[[#This Row],[Month (old2)]], 3)</f>
        <v>Oct</v>
      </c>
    </row>
    <row r="121" spans="2:12" x14ac:dyDescent="0.25">
      <c r="B121" s="33">
        <v>44491</v>
      </c>
      <c r="C121" s="34" t="s">
        <v>26</v>
      </c>
      <c r="D121" s="34" t="s">
        <v>18</v>
      </c>
      <c r="E121" s="13">
        <v>454612</v>
      </c>
      <c r="F121" s="13">
        <v>455967</v>
      </c>
      <c r="G121" s="13">
        <v>452400</v>
      </c>
      <c r="H121" s="13">
        <v>454490</v>
      </c>
      <c r="I121" s="13">
        <v>306281000000</v>
      </c>
      <c r="J121" s="35" t="str">
        <f>TRIM(data__2[[#This Row],[Month (old)]])</f>
        <v>October</v>
      </c>
      <c r="K121" s="35" t="str">
        <f>TRIM(data__2[[#This Row],[Symbol (old)]])</f>
        <v>SP500</v>
      </c>
      <c r="L121" s="36" t="str">
        <f>LEFT(data__2[[#This Row],[Month (old2)]], 3)</f>
        <v>Oct</v>
      </c>
    </row>
    <row r="122" spans="2:12" x14ac:dyDescent="0.25">
      <c r="B122" s="33">
        <v>44491</v>
      </c>
      <c r="C122" s="34" t="s">
        <v>14</v>
      </c>
      <c r="D122" s="34" t="s">
        <v>5</v>
      </c>
      <c r="E122" s="13">
        <v>6324340</v>
      </c>
      <c r="F122" s="13">
        <v>6374562</v>
      </c>
      <c r="G122" s="13">
        <v>6000000</v>
      </c>
      <c r="H122" s="13">
        <v>6123490</v>
      </c>
      <c r="I122" s="13">
        <v>165299</v>
      </c>
      <c r="J122" s="35" t="str">
        <f>TRIM(data__2[[#This Row],[Month (old)]])</f>
        <v>Oct</v>
      </c>
      <c r="K122" s="35" t="str">
        <f>TRIM(data__2[[#This Row],[Symbol (old)]])</f>
        <v>BTCUSD</v>
      </c>
      <c r="L122" s="36" t="str">
        <f>LEFT(data__2[[#This Row],[Month (old2)]], 3)</f>
        <v>Oct</v>
      </c>
    </row>
    <row r="123" spans="2:12" x14ac:dyDescent="0.25">
      <c r="B123" s="33">
        <v>44490</v>
      </c>
      <c r="C123" s="34" t="s">
        <v>26</v>
      </c>
      <c r="D123" s="34" t="s">
        <v>18</v>
      </c>
      <c r="E123" s="13">
        <v>453224</v>
      </c>
      <c r="F123" s="13">
        <v>455144</v>
      </c>
      <c r="G123" s="13">
        <v>452689</v>
      </c>
      <c r="H123" s="13">
        <v>454978</v>
      </c>
      <c r="I123" s="13">
        <v>301695000000</v>
      </c>
      <c r="J123" s="35" t="str">
        <f>TRIM(data__2[[#This Row],[Month (old)]])</f>
        <v>October</v>
      </c>
      <c r="K123" s="35" t="str">
        <f>TRIM(data__2[[#This Row],[Symbol (old)]])</f>
        <v>SP500</v>
      </c>
      <c r="L123" s="36" t="str">
        <f>LEFT(data__2[[#This Row],[Month (old2)]], 3)</f>
        <v>Oct</v>
      </c>
    </row>
    <row r="124" spans="2:12" x14ac:dyDescent="0.25">
      <c r="B124" s="33">
        <v>44490</v>
      </c>
      <c r="C124" s="34" t="s">
        <v>14</v>
      </c>
      <c r="D124" s="34" t="s">
        <v>5</v>
      </c>
      <c r="E124" s="13">
        <v>6507799</v>
      </c>
      <c r="F124" s="13">
        <v>6664314</v>
      </c>
      <c r="G124" s="13">
        <v>6141802</v>
      </c>
      <c r="H124" s="13">
        <v>6324340</v>
      </c>
      <c r="I124" s="13">
        <v>290873</v>
      </c>
      <c r="J124" s="35" t="str">
        <f>TRIM(data__2[[#This Row],[Month (old)]])</f>
        <v>Oct</v>
      </c>
      <c r="K124" s="35" t="str">
        <f>TRIM(data__2[[#This Row],[Symbol (old)]])</f>
        <v>BTCUSD</v>
      </c>
      <c r="L124" s="36" t="str">
        <f>LEFT(data__2[[#This Row],[Month (old2)]], 3)</f>
        <v>Oct</v>
      </c>
    </row>
    <row r="125" spans="2:12" x14ac:dyDescent="0.25">
      <c r="B125" s="33">
        <v>44489</v>
      </c>
      <c r="C125" s="34" t="s">
        <v>26</v>
      </c>
      <c r="D125" s="34" t="s">
        <v>18</v>
      </c>
      <c r="E125" s="13">
        <v>452442</v>
      </c>
      <c r="F125" s="13">
        <v>454087</v>
      </c>
      <c r="G125" s="13">
        <v>452440</v>
      </c>
      <c r="H125" s="13">
        <v>453619</v>
      </c>
      <c r="I125" s="13">
        <v>267156000000</v>
      </c>
      <c r="J125" s="35" t="str">
        <f>TRIM(data__2[[#This Row],[Month (old)]])</f>
        <v>October</v>
      </c>
      <c r="K125" s="35" t="str">
        <f>TRIM(data__2[[#This Row],[Symbol (old)]])</f>
        <v>SP500</v>
      </c>
      <c r="L125" s="36" t="str">
        <f>LEFT(data__2[[#This Row],[Month (old2)]], 3)</f>
        <v>Oct</v>
      </c>
    </row>
    <row r="126" spans="2:12" x14ac:dyDescent="0.25">
      <c r="B126" s="33">
        <v>44489</v>
      </c>
      <c r="C126" s="34" t="s">
        <v>14</v>
      </c>
      <c r="D126" s="34" t="s">
        <v>5</v>
      </c>
      <c r="E126" s="13">
        <v>6387020</v>
      </c>
      <c r="F126" s="13">
        <v>6699472</v>
      </c>
      <c r="G126" s="13">
        <v>6354051</v>
      </c>
      <c r="H126" s="13">
        <v>6507799</v>
      </c>
      <c r="I126" s="13">
        <v>283659</v>
      </c>
      <c r="J126" s="35" t="str">
        <f>TRIM(data__2[[#This Row],[Month (old)]])</f>
        <v>Oct</v>
      </c>
      <c r="K126" s="35" t="str">
        <f>TRIM(data__2[[#This Row],[Symbol (old)]])</f>
        <v>BTCUSD</v>
      </c>
      <c r="L126" s="36" t="str">
        <f>LEFT(data__2[[#This Row],[Month (old2)]], 3)</f>
        <v>Oct</v>
      </c>
    </row>
    <row r="127" spans="2:12" x14ac:dyDescent="0.25">
      <c r="B127" s="33">
        <v>44488</v>
      </c>
      <c r="C127" s="34" t="s">
        <v>26</v>
      </c>
      <c r="D127" s="34" t="s">
        <v>18</v>
      </c>
      <c r="E127" s="13">
        <v>449734</v>
      </c>
      <c r="F127" s="13">
        <v>452040</v>
      </c>
      <c r="G127" s="13">
        <v>449641</v>
      </c>
      <c r="H127" s="13">
        <v>451963</v>
      </c>
      <c r="I127" s="13">
        <v>253121000000</v>
      </c>
      <c r="J127" s="35" t="str">
        <f>TRIM(data__2[[#This Row],[Month (old)]])</f>
        <v>October</v>
      </c>
      <c r="K127" s="35" t="str">
        <f>TRIM(data__2[[#This Row],[Symbol (old)]])</f>
        <v>SP500</v>
      </c>
      <c r="L127" s="36" t="str">
        <f>LEFT(data__2[[#This Row],[Month (old2)]], 3)</f>
        <v>Oct</v>
      </c>
    </row>
    <row r="128" spans="2:12" x14ac:dyDescent="0.25">
      <c r="B128" s="33">
        <v>44488</v>
      </c>
      <c r="C128" s="34" t="s">
        <v>14</v>
      </c>
      <c r="D128" s="34" t="s">
        <v>5</v>
      </c>
      <c r="E128" s="13">
        <v>6260000</v>
      </c>
      <c r="F128" s="13">
        <v>6449812</v>
      </c>
      <c r="G128" s="13">
        <v>6131200</v>
      </c>
      <c r="H128" s="13">
        <v>6387020</v>
      </c>
      <c r="I128" s="13">
        <v>191415</v>
      </c>
      <c r="J128" s="35" t="str">
        <f>TRIM(data__2[[#This Row],[Month (old)]])</f>
        <v>Oct</v>
      </c>
      <c r="K128" s="35" t="str">
        <f>TRIM(data__2[[#This Row],[Symbol (old)]])</f>
        <v>BTCUSD</v>
      </c>
      <c r="L128" s="36" t="str">
        <f>LEFT(data__2[[#This Row],[Month (old2)]], 3)</f>
        <v>Oct</v>
      </c>
    </row>
    <row r="129" spans="2:12" x14ac:dyDescent="0.25">
      <c r="B129" s="33">
        <v>44487</v>
      </c>
      <c r="C129" s="34" t="s">
        <v>26</v>
      </c>
      <c r="D129" s="34" t="s">
        <v>18</v>
      </c>
      <c r="E129" s="13">
        <v>446372</v>
      </c>
      <c r="F129" s="13">
        <v>448875</v>
      </c>
      <c r="G129" s="13">
        <v>444747</v>
      </c>
      <c r="H129" s="13">
        <v>448646</v>
      </c>
      <c r="I129" s="13">
        <v>268354000000</v>
      </c>
      <c r="J129" s="35" t="str">
        <f>TRIM(data__2[[#This Row],[Month (old)]])</f>
        <v>October</v>
      </c>
      <c r="K129" s="35" t="str">
        <f>TRIM(data__2[[#This Row],[Symbol (old)]])</f>
        <v>SP500</v>
      </c>
      <c r="L129" s="36" t="str">
        <f>LEFT(data__2[[#This Row],[Month (old2)]], 3)</f>
        <v>Oct</v>
      </c>
    </row>
    <row r="130" spans="2:12" x14ac:dyDescent="0.25">
      <c r="B130" s="33">
        <v>44487</v>
      </c>
      <c r="C130" s="34" t="s">
        <v>14</v>
      </c>
      <c r="D130" s="34" t="s">
        <v>5</v>
      </c>
      <c r="E130" s="13">
        <v>6210000</v>
      </c>
      <c r="F130" s="13">
        <v>6297338</v>
      </c>
      <c r="G130" s="13">
        <v>5992613</v>
      </c>
      <c r="H130" s="13">
        <v>6260000</v>
      </c>
      <c r="I130" s="13">
        <v>263153</v>
      </c>
      <c r="J130" s="35" t="str">
        <f>TRIM(data__2[[#This Row],[Month (old)]])</f>
        <v>Oct</v>
      </c>
      <c r="K130" s="35" t="str">
        <f>TRIM(data__2[[#This Row],[Symbol (old)]])</f>
        <v>BTCUSD</v>
      </c>
      <c r="L130" s="36" t="str">
        <f>LEFT(data__2[[#This Row],[Month (old2)]], 3)</f>
        <v>Oct</v>
      </c>
    </row>
    <row r="131" spans="2:12" x14ac:dyDescent="0.25">
      <c r="B131" s="33">
        <v>44486</v>
      </c>
      <c r="C131" s="34" t="s">
        <v>14</v>
      </c>
      <c r="D131" s="34" t="s">
        <v>5</v>
      </c>
      <c r="E131" s="13">
        <v>6114442</v>
      </c>
      <c r="F131" s="13">
        <v>6255273</v>
      </c>
      <c r="G131" s="13">
        <v>5893703</v>
      </c>
      <c r="H131" s="13">
        <v>6210000</v>
      </c>
      <c r="I131" s="13">
        <v>92951</v>
      </c>
      <c r="J131" s="35" t="str">
        <f>TRIM(data__2[[#This Row],[Month (old)]])</f>
        <v>Oct</v>
      </c>
      <c r="K131" s="35" t="str">
        <f>TRIM(data__2[[#This Row],[Symbol (old)]])</f>
        <v>BTCUSD</v>
      </c>
      <c r="L131" s="36" t="str">
        <f>LEFT(data__2[[#This Row],[Month (old2)]], 3)</f>
        <v>Oct</v>
      </c>
    </row>
    <row r="132" spans="2:12" x14ac:dyDescent="0.25">
      <c r="B132" s="33">
        <v>44485</v>
      </c>
      <c r="C132" s="34" t="s">
        <v>14</v>
      </c>
      <c r="D132" s="34" t="s">
        <v>5</v>
      </c>
      <c r="E132" s="13">
        <v>6162484</v>
      </c>
      <c r="F132" s="13">
        <v>6236608</v>
      </c>
      <c r="G132" s="13">
        <v>6017414</v>
      </c>
      <c r="H132" s="13">
        <v>6114442</v>
      </c>
      <c r="I132" s="13">
        <v>86457</v>
      </c>
      <c r="J132" s="35" t="str">
        <f>TRIM(data__2[[#This Row],[Month (old)]])</f>
        <v>Oct</v>
      </c>
      <c r="K132" s="35" t="str">
        <f>TRIM(data__2[[#This Row],[Symbol (old)]])</f>
        <v>BTCUSD</v>
      </c>
      <c r="L132" s="36" t="str">
        <f>LEFT(data__2[[#This Row],[Month (old2)]], 3)</f>
        <v>Oct</v>
      </c>
    </row>
    <row r="133" spans="2:12" x14ac:dyDescent="0.25">
      <c r="B133" s="33">
        <v>44484</v>
      </c>
      <c r="C133" s="34" t="s">
        <v>26</v>
      </c>
      <c r="D133" s="34" t="s">
        <v>18</v>
      </c>
      <c r="E133" s="13">
        <v>444769</v>
      </c>
      <c r="F133" s="13">
        <v>447582</v>
      </c>
      <c r="G133" s="13">
        <v>444769</v>
      </c>
      <c r="H133" s="13">
        <v>447137</v>
      </c>
      <c r="I133" s="13">
        <v>300056000000</v>
      </c>
      <c r="J133" s="35" t="str">
        <f>TRIM(data__2[[#This Row],[Month (old)]])</f>
        <v>October</v>
      </c>
      <c r="K133" s="35" t="str">
        <f>TRIM(data__2[[#This Row],[Symbol (old)]])</f>
        <v>SP500</v>
      </c>
      <c r="L133" s="36" t="str">
        <f>LEFT(data__2[[#This Row],[Month (old2)]], 3)</f>
        <v>Oct</v>
      </c>
    </row>
    <row r="134" spans="2:12" x14ac:dyDescent="0.25">
      <c r="B134" s="33">
        <v>44484</v>
      </c>
      <c r="C134" s="34" t="s">
        <v>14</v>
      </c>
      <c r="D134" s="34" t="s">
        <v>5</v>
      </c>
      <c r="E134" s="13">
        <v>5940755</v>
      </c>
      <c r="F134" s="13">
        <v>6289800</v>
      </c>
      <c r="G134" s="13">
        <v>5876879</v>
      </c>
      <c r="H134" s="13">
        <v>6162484</v>
      </c>
      <c r="I134" s="13">
        <v>306946</v>
      </c>
      <c r="J134" s="35" t="str">
        <f>TRIM(data__2[[#This Row],[Month (old)]])</f>
        <v>Oct</v>
      </c>
      <c r="K134" s="35" t="str">
        <f>TRIM(data__2[[#This Row],[Symbol (old)]])</f>
        <v>BTCUSD</v>
      </c>
      <c r="L134" s="36" t="str">
        <f>LEFT(data__2[[#This Row],[Month (old2)]], 3)</f>
        <v>Oct</v>
      </c>
    </row>
    <row r="135" spans="2:12" x14ac:dyDescent="0.25">
      <c r="B135" s="33">
        <v>44483</v>
      </c>
      <c r="C135" s="34" t="s">
        <v>26</v>
      </c>
      <c r="D135" s="34" t="s">
        <v>18</v>
      </c>
      <c r="E135" s="13">
        <v>438675</v>
      </c>
      <c r="F135" s="13">
        <v>443973</v>
      </c>
      <c r="G135" s="13">
        <v>438675</v>
      </c>
      <c r="H135" s="13">
        <v>443826</v>
      </c>
      <c r="I135" s="13">
        <v>264292000000</v>
      </c>
      <c r="J135" s="35" t="str">
        <f>TRIM(data__2[[#This Row],[Month (old)]])</f>
        <v>October</v>
      </c>
      <c r="K135" s="35" t="str">
        <f>TRIM(data__2[[#This Row],[Symbol (old)]])</f>
        <v>SP500</v>
      </c>
      <c r="L135" s="36" t="str">
        <f>LEFT(data__2[[#This Row],[Month (old2)]], 3)</f>
        <v>Oct</v>
      </c>
    </row>
    <row r="136" spans="2:12" x14ac:dyDescent="0.25">
      <c r="B136" s="33">
        <v>44483</v>
      </c>
      <c r="C136" s="34" t="s">
        <v>14</v>
      </c>
      <c r="D136" s="34" t="s">
        <v>5</v>
      </c>
      <c r="E136" s="13">
        <v>5807382</v>
      </c>
      <c r="F136" s="13">
        <v>5945000</v>
      </c>
      <c r="G136" s="13">
        <v>5680796</v>
      </c>
      <c r="H136" s="13">
        <v>5940755</v>
      </c>
      <c r="I136" s="13">
        <v>116689</v>
      </c>
      <c r="J136" s="35" t="str">
        <f>TRIM(data__2[[#This Row],[Month (old)]])</f>
        <v>Oct</v>
      </c>
      <c r="K136" s="35" t="str">
        <f>TRIM(data__2[[#This Row],[Symbol (old)]])</f>
        <v>BTCUSD</v>
      </c>
      <c r="L136" s="36" t="str">
        <f>LEFT(data__2[[#This Row],[Month (old2)]], 3)</f>
        <v>Oct</v>
      </c>
    </row>
    <row r="137" spans="2:12" x14ac:dyDescent="0.25">
      <c r="B137" s="33">
        <v>44482</v>
      </c>
      <c r="C137" s="34" t="s">
        <v>26</v>
      </c>
      <c r="D137" s="34" t="s">
        <v>18</v>
      </c>
      <c r="E137" s="13">
        <v>435801</v>
      </c>
      <c r="F137" s="13">
        <v>437287</v>
      </c>
      <c r="G137" s="13">
        <v>432992</v>
      </c>
      <c r="H137" s="13">
        <v>436380</v>
      </c>
      <c r="I137" s="13">
        <v>292646000000</v>
      </c>
      <c r="J137" s="35" t="str">
        <f>TRIM(data__2[[#This Row],[Month (old)]])</f>
        <v>October</v>
      </c>
      <c r="K137" s="35" t="str">
        <f>TRIM(data__2[[#This Row],[Symbol (old)]])</f>
        <v>SP500</v>
      </c>
      <c r="L137" s="36" t="str">
        <f>LEFT(data__2[[#This Row],[Month (old2)]], 3)</f>
        <v>Oct</v>
      </c>
    </row>
    <row r="138" spans="2:12" x14ac:dyDescent="0.25">
      <c r="B138" s="33">
        <v>44482</v>
      </c>
      <c r="C138" s="34" t="s">
        <v>14</v>
      </c>
      <c r="D138" s="34" t="s">
        <v>5</v>
      </c>
      <c r="E138" s="13">
        <v>5628906</v>
      </c>
      <c r="F138" s="13">
        <v>5850002</v>
      </c>
      <c r="G138" s="13">
        <v>5425000</v>
      </c>
      <c r="H138" s="13">
        <v>5807382</v>
      </c>
      <c r="I138" s="13">
        <v>157470</v>
      </c>
      <c r="J138" s="35" t="str">
        <f>TRIM(data__2[[#This Row],[Month (old)]])</f>
        <v>Oct</v>
      </c>
      <c r="K138" s="35" t="str">
        <f>TRIM(data__2[[#This Row],[Symbol (old)]])</f>
        <v>BTCUSD</v>
      </c>
      <c r="L138" s="36" t="str">
        <f>LEFT(data__2[[#This Row],[Month (old2)]], 3)</f>
        <v>Oct</v>
      </c>
    </row>
    <row r="139" spans="2:12" x14ac:dyDescent="0.25">
      <c r="B139" s="33">
        <v>44481</v>
      </c>
      <c r="C139" s="34" t="s">
        <v>26</v>
      </c>
      <c r="D139" s="34" t="s">
        <v>18</v>
      </c>
      <c r="E139" s="13">
        <v>436831</v>
      </c>
      <c r="F139" s="13">
        <v>437489</v>
      </c>
      <c r="G139" s="13">
        <v>434209</v>
      </c>
      <c r="H139" s="13">
        <v>435065</v>
      </c>
      <c r="I139" s="13">
        <v>260815000000</v>
      </c>
      <c r="J139" s="35" t="str">
        <f>TRIM(data__2[[#This Row],[Month (old)]])</f>
        <v>October</v>
      </c>
      <c r="K139" s="35" t="str">
        <f>TRIM(data__2[[#This Row],[Symbol (old)]])</f>
        <v>SP500</v>
      </c>
      <c r="L139" s="36" t="str">
        <f>LEFT(data__2[[#This Row],[Month (old2)]], 3)</f>
        <v>Oct</v>
      </c>
    </row>
    <row r="140" spans="2:12" x14ac:dyDescent="0.25">
      <c r="B140" s="33">
        <v>44481</v>
      </c>
      <c r="C140" s="34" t="s">
        <v>14</v>
      </c>
      <c r="D140" s="34" t="s">
        <v>5</v>
      </c>
      <c r="E140" s="13">
        <v>5671000</v>
      </c>
      <c r="F140" s="13">
        <v>5768888</v>
      </c>
      <c r="G140" s="13">
        <v>5391179</v>
      </c>
      <c r="H140" s="13">
        <v>5628906</v>
      </c>
      <c r="I140" s="13">
        <v>171392</v>
      </c>
      <c r="J140" s="35" t="str">
        <f>TRIM(data__2[[#This Row],[Month (old)]])</f>
        <v>Oct</v>
      </c>
      <c r="K140" s="35" t="str">
        <f>TRIM(data__2[[#This Row],[Symbol (old)]])</f>
        <v>BTCUSD</v>
      </c>
      <c r="L140" s="36" t="str">
        <f>LEFT(data__2[[#This Row],[Month (old2)]], 3)</f>
        <v>Oct</v>
      </c>
    </row>
    <row r="141" spans="2:12" x14ac:dyDescent="0.25">
      <c r="B141" s="33">
        <v>44480</v>
      </c>
      <c r="C141" s="34" t="s">
        <v>26</v>
      </c>
      <c r="D141" s="34" t="s">
        <v>18</v>
      </c>
      <c r="E141" s="13">
        <v>438544</v>
      </c>
      <c r="F141" s="13">
        <v>441588</v>
      </c>
      <c r="G141" s="13">
        <v>436059</v>
      </c>
      <c r="H141" s="13">
        <v>436119</v>
      </c>
      <c r="I141" s="13">
        <v>258000000000</v>
      </c>
      <c r="J141" s="35" t="str">
        <f>TRIM(data__2[[#This Row],[Month (old)]])</f>
        <v>October</v>
      </c>
      <c r="K141" s="35" t="str">
        <f>TRIM(data__2[[#This Row],[Symbol (old)]])</f>
        <v>SP500</v>
      </c>
      <c r="L141" s="36" t="str">
        <f>LEFT(data__2[[#This Row],[Month (old2)]], 3)</f>
        <v>Oct</v>
      </c>
    </row>
    <row r="142" spans="2:12" x14ac:dyDescent="0.25">
      <c r="B142" s="33">
        <v>44480</v>
      </c>
      <c r="C142" s="34" t="s">
        <v>14</v>
      </c>
      <c r="D142" s="34" t="s">
        <v>5</v>
      </c>
      <c r="E142" s="13">
        <v>5652058</v>
      </c>
      <c r="F142" s="13">
        <v>5800000</v>
      </c>
      <c r="G142" s="13">
        <v>5583877</v>
      </c>
      <c r="H142" s="13">
        <v>5671000</v>
      </c>
      <c r="I142" s="13">
        <v>102791</v>
      </c>
      <c r="J142" s="35" t="str">
        <f>TRIM(data__2[[#This Row],[Month (old)]])</f>
        <v>Oct</v>
      </c>
      <c r="K142" s="35" t="str">
        <f>TRIM(data__2[[#This Row],[Symbol (old)]])</f>
        <v>BTCUSD</v>
      </c>
      <c r="L142" s="36" t="str">
        <f>LEFT(data__2[[#This Row],[Month (old2)]], 3)</f>
        <v>Oct</v>
      </c>
    </row>
    <row r="143" spans="2:12" x14ac:dyDescent="0.25">
      <c r="B143" s="33">
        <v>44479</v>
      </c>
      <c r="C143" s="34" t="s">
        <v>14</v>
      </c>
      <c r="D143" s="34" t="s">
        <v>5</v>
      </c>
      <c r="E143" s="13">
        <v>5504376</v>
      </c>
      <c r="F143" s="13">
        <v>5675901</v>
      </c>
      <c r="G143" s="13">
        <v>5437652</v>
      </c>
      <c r="H143" s="13">
        <v>5652058</v>
      </c>
      <c r="I143" s="13">
        <v>116624</v>
      </c>
      <c r="J143" s="35" t="str">
        <f>TRIM(data__2[[#This Row],[Month (old)]])</f>
        <v>Oct</v>
      </c>
      <c r="K143" s="35" t="str">
        <f>TRIM(data__2[[#This Row],[Symbol (old)]])</f>
        <v>BTCUSD</v>
      </c>
      <c r="L143" s="36" t="str">
        <f>LEFT(data__2[[#This Row],[Month (old2)]], 3)</f>
        <v>Oct</v>
      </c>
    </row>
    <row r="144" spans="2:12" x14ac:dyDescent="0.25">
      <c r="B144" s="33">
        <v>44478</v>
      </c>
      <c r="C144" s="34" t="s">
        <v>14</v>
      </c>
      <c r="D144" s="34" t="s">
        <v>5</v>
      </c>
      <c r="E144" s="13">
        <v>5458800</v>
      </c>
      <c r="F144" s="13">
        <v>5548687</v>
      </c>
      <c r="G144" s="13">
        <v>5411527</v>
      </c>
      <c r="H144" s="13">
        <v>5504376</v>
      </c>
      <c r="I144" s="13">
        <v>70772</v>
      </c>
      <c r="J144" s="35" t="str">
        <f>TRIM(data__2[[#This Row],[Month (old)]])</f>
        <v>Oct</v>
      </c>
      <c r="K144" s="35" t="str">
        <f>TRIM(data__2[[#This Row],[Symbol (old)]])</f>
        <v>BTCUSD</v>
      </c>
      <c r="L144" s="36" t="str">
        <f>LEFT(data__2[[#This Row],[Month (old2)]], 3)</f>
        <v>Oct</v>
      </c>
    </row>
    <row r="145" spans="2:12" x14ac:dyDescent="0.25">
      <c r="B145" s="33">
        <v>44477</v>
      </c>
      <c r="C145" s="34" t="s">
        <v>26</v>
      </c>
      <c r="D145" s="34" t="s">
        <v>18</v>
      </c>
      <c r="E145" s="13">
        <v>440651</v>
      </c>
      <c r="F145" s="13">
        <v>441202</v>
      </c>
      <c r="G145" s="13">
        <v>438622</v>
      </c>
      <c r="H145" s="13">
        <v>439134</v>
      </c>
      <c r="I145" s="13">
        <v>240189000000</v>
      </c>
      <c r="J145" s="35" t="str">
        <f>TRIM(data__2[[#This Row],[Month (old)]])</f>
        <v>October</v>
      </c>
      <c r="K145" s="35" t="str">
        <f>TRIM(data__2[[#This Row],[Symbol (old)]])</f>
        <v>SP500</v>
      </c>
      <c r="L145" s="36" t="str">
        <f>LEFT(data__2[[#This Row],[Month (old2)]], 3)</f>
        <v>Oct</v>
      </c>
    </row>
    <row r="146" spans="2:12" x14ac:dyDescent="0.25">
      <c r="B146" s="33">
        <v>44477</v>
      </c>
      <c r="C146" s="34" t="s">
        <v>14</v>
      </c>
      <c r="D146" s="34" t="s">
        <v>5</v>
      </c>
      <c r="E146" s="13">
        <v>5382669</v>
      </c>
      <c r="F146" s="13">
        <v>5615058</v>
      </c>
      <c r="G146" s="13">
        <v>5365500</v>
      </c>
      <c r="H146" s="13">
        <v>5458800</v>
      </c>
      <c r="I146" s="13">
        <v>148578</v>
      </c>
      <c r="J146" s="35" t="str">
        <f>TRIM(data__2[[#This Row],[Month (old)]])</f>
        <v>Oct</v>
      </c>
      <c r="K146" s="35" t="str">
        <f>TRIM(data__2[[#This Row],[Symbol (old)]])</f>
        <v>BTCUSD</v>
      </c>
      <c r="L146" s="36" t="str">
        <f>LEFT(data__2[[#This Row],[Month (old2)]], 3)</f>
        <v>Oct</v>
      </c>
    </row>
    <row r="147" spans="2:12" x14ac:dyDescent="0.25">
      <c r="B147" s="33">
        <v>44476</v>
      </c>
      <c r="C147" s="34" t="s">
        <v>26</v>
      </c>
      <c r="D147" s="34" t="s">
        <v>18</v>
      </c>
      <c r="E147" s="13">
        <v>438373</v>
      </c>
      <c r="F147" s="13">
        <v>442997</v>
      </c>
      <c r="G147" s="13">
        <v>438373</v>
      </c>
      <c r="H147" s="13">
        <v>439976</v>
      </c>
      <c r="I147" s="13">
        <v>309608000000</v>
      </c>
      <c r="J147" s="35" t="str">
        <f>TRIM(data__2[[#This Row],[Month (old)]])</f>
        <v>October</v>
      </c>
      <c r="K147" s="35" t="str">
        <f>TRIM(data__2[[#This Row],[Symbol (old)]])</f>
        <v>SP500</v>
      </c>
      <c r="L147" s="36" t="str">
        <f>LEFT(data__2[[#This Row],[Month (old2)]], 3)</f>
        <v>Oct</v>
      </c>
    </row>
    <row r="148" spans="2:12" x14ac:dyDescent="0.25">
      <c r="B148" s="33">
        <v>44476</v>
      </c>
      <c r="C148" s="34" t="s">
        <v>14</v>
      </c>
      <c r="D148" s="34" t="s">
        <v>5</v>
      </c>
      <c r="E148" s="13">
        <v>5483890</v>
      </c>
      <c r="F148" s="13">
        <v>5523153</v>
      </c>
      <c r="G148" s="13">
        <v>5336600</v>
      </c>
      <c r="H148" s="13">
        <v>5382669</v>
      </c>
      <c r="I148" s="13">
        <v>133883</v>
      </c>
      <c r="J148" s="35" t="str">
        <f>TRIM(data__2[[#This Row],[Month (old)]])</f>
        <v>Oct</v>
      </c>
      <c r="K148" s="35" t="str">
        <f>TRIM(data__2[[#This Row],[Symbol (old)]])</f>
        <v>BTCUSD</v>
      </c>
      <c r="L148" s="36" t="str">
        <f>LEFT(data__2[[#This Row],[Month (old2)]], 3)</f>
        <v>Oct</v>
      </c>
    </row>
    <row r="149" spans="2:12" x14ac:dyDescent="0.25">
      <c r="B149" s="33">
        <v>44475</v>
      </c>
      <c r="C149" s="34" t="s">
        <v>26</v>
      </c>
      <c r="D149" s="34" t="s">
        <v>18</v>
      </c>
      <c r="E149" s="13">
        <v>431957</v>
      </c>
      <c r="F149" s="13">
        <v>436557</v>
      </c>
      <c r="G149" s="13">
        <v>429049</v>
      </c>
      <c r="H149" s="13">
        <v>436355</v>
      </c>
      <c r="I149" s="13">
        <v>321959000000</v>
      </c>
      <c r="J149" s="35" t="str">
        <f>TRIM(data__2[[#This Row],[Month (old)]])</f>
        <v>October</v>
      </c>
      <c r="K149" s="35" t="str">
        <f>TRIM(data__2[[#This Row],[Symbol (old)]])</f>
        <v>SP500</v>
      </c>
      <c r="L149" s="36" t="str">
        <f>LEFT(data__2[[#This Row],[Month (old2)]], 3)</f>
        <v>Oct</v>
      </c>
    </row>
    <row r="150" spans="2:12" x14ac:dyDescent="0.25">
      <c r="B150" s="33">
        <v>44475</v>
      </c>
      <c r="C150" s="34" t="s">
        <v>14</v>
      </c>
      <c r="D150" s="34" t="s">
        <v>5</v>
      </c>
      <c r="E150" s="13">
        <v>5156160</v>
      </c>
      <c r="F150" s="13">
        <v>5580000</v>
      </c>
      <c r="G150" s="13">
        <v>5041000</v>
      </c>
      <c r="H150" s="13">
        <v>5483890</v>
      </c>
      <c r="I150" s="13">
        <v>328823</v>
      </c>
      <c r="J150" s="35" t="str">
        <f>TRIM(data__2[[#This Row],[Month (old)]])</f>
        <v>Oct</v>
      </c>
      <c r="K150" s="35" t="str">
        <f>TRIM(data__2[[#This Row],[Symbol (old)]])</f>
        <v>BTCUSD</v>
      </c>
      <c r="L150" s="36" t="str">
        <f>LEFT(data__2[[#This Row],[Month (old2)]], 3)</f>
        <v>Oct</v>
      </c>
    </row>
    <row r="151" spans="2:12" x14ac:dyDescent="0.25">
      <c r="B151" s="33">
        <v>44474</v>
      </c>
      <c r="C151" s="34" t="s">
        <v>26</v>
      </c>
      <c r="D151" s="34" t="s">
        <v>18</v>
      </c>
      <c r="E151" s="13">
        <v>430987</v>
      </c>
      <c r="F151" s="13">
        <v>436923</v>
      </c>
      <c r="G151" s="13">
        <v>430987</v>
      </c>
      <c r="H151" s="13">
        <v>434572</v>
      </c>
      <c r="I151" s="13">
        <v>296740000000</v>
      </c>
      <c r="J151" s="35" t="str">
        <f>TRIM(data__2[[#This Row],[Month (old)]])</f>
        <v>October</v>
      </c>
      <c r="K151" s="35" t="str">
        <f>TRIM(data__2[[#This Row],[Symbol (old)]])</f>
        <v>SP500</v>
      </c>
      <c r="L151" s="36" t="str">
        <f>LEFT(data__2[[#This Row],[Month (old2)]], 3)</f>
        <v>Oct</v>
      </c>
    </row>
    <row r="152" spans="2:12" x14ac:dyDescent="0.25">
      <c r="B152" s="33">
        <v>44474</v>
      </c>
      <c r="C152" s="34" t="s">
        <v>14</v>
      </c>
      <c r="D152" s="34" t="s">
        <v>5</v>
      </c>
      <c r="E152" s="13">
        <v>4932094</v>
      </c>
      <c r="F152" s="13">
        <v>5192783</v>
      </c>
      <c r="G152" s="13">
        <v>4910830</v>
      </c>
      <c r="H152" s="13">
        <v>5156160</v>
      </c>
      <c r="I152" s="13">
        <v>169152</v>
      </c>
      <c r="J152" s="35" t="str">
        <f>TRIM(data__2[[#This Row],[Month (old)]])</f>
        <v>Oct</v>
      </c>
      <c r="K152" s="35" t="str">
        <f>TRIM(data__2[[#This Row],[Symbol (old)]])</f>
        <v>BTCUSD</v>
      </c>
      <c r="L152" s="36" t="str">
        <f>LEFT(data__2[[#This Row],[Month (old2)]], 3)</f>
        <v>Oct</v>
      </c>
    </row>
    <row r="153" spans="2:12" x14ac:dyDescent="0.25">
      <c r="B153" s="33">
        <v>44473</v>
      </c>
      <c r="C153" s="34" t="s">
        <v>26</v>
      </c>
      <c r="D153" s="34" t="s">
        <v>18</v>
      </c>
      <c r="E153" s="13">
        <v>434884</v>
      </c>
      <c r="F153" s="13">
        <v>435551</v>
      </c>
      <c r="G153" s="13">
        <v>427894</v>
      </c>
      <c r="H153" s="13">
        <v>430046</v>
      </c>
      <c r="I153" s="13">
        <v>311056000000</v>
      </c>
      <c r="J153" s="35" t="str">
        <f>TRIM(data__2[[#This Row],[Month (old)]])</f>
        <v>October</v>
      </c>
      <c r="K153" s="35" t="str">
        <f>TRIM(data__2[[#This Row],[Symbol (old)]])</f>
        <v>SP500</v>
      </c>
      <c r="L153" s="36" t="str">
        <f>LEFT(data__2[[#This Row],[Month (old2)]], 3)</f>
        <v>Oct</v>
      </c>
    </row>
    <row r="154" spans="2:12" x14ac:dyDescent="0.25">
      <c r="B154" s="33">
        <v>44473</v>
      </c>
      <c r="C154" s="34" t="s">
        <v>14</v>
      </c>
      <c r="D154" s="34" t="s">
        <v>5</v>
      </c>
      <c r="E154" s="13">
        <v>4750965</v>
      </c>
      <c r="F154" s="13">
        <v>4978933</v>
      </c>
      <c r="G154" s="13">
        <v>4692668</v>
      </c>
      <c r="H154" s="13">
        <v>4932094</v>
      </c>
      <c r="I154" s="13">
        <v>175541</v>
      </c>
      <c r="J154" s="35" t="str">
        <f>TRIM(data__2[[#This Row],[Month (old)]])</f>
        <v>Oct</v>
      </c>
      <c r="K154" s="35" t="str">
        <f>TRIM(data__2[[#This Row],[Symbol (old)]])</f>
        <v>BTCUSD</v>
      </c>
      <c r="L154" s="36" t="str">
        <f>LEFT(data__2[[#This Row],[Month (old2)]], 3)</f>
        <v>Oct</v>
      </c>
    </row>
    <row r="155" spans="2:12" x14ac:dyDescent="0.25">
      <c r="B155" s="33">
        <v>44472</v>
      </c>
      <c r="C155" s="34" t="s">
        <v>14</v>
      </c>
      <c r="D155" s="34" t="s">
        <v>5</v>
      </c>
      <c r="E155" s="13">
        <v>4789979</v>
      </c>
      <c r="F155" s="13">
        <v>4925930</v>
      </c>
      <c r="G155" s="13">
        <v>4737235</v>
      </c>
      <c r="H155" s="13">
        <v>4750965</v>
      </c>
      <c r="I155" s="13">
        <v>86480</v>
      </c>
      <c r="J155" s="35" t="str">
        <f>TRIM(data__2[[#This Row],[Month (old)]])</f>
        <v>Oct</v>
      </c>
      <c r="K155" s="35" t="str">
        <f>TRIM(data__2[[#This Row],[Symbol (old)]])</f>
        <v>BTCUSD</v>
      </c>
      <c r="L155" s="36" t="str">
        <f>LEFT(data__2[[#This Row],[Month (old2)]], 3)</f>
        <v>Oct</v>
      </c>
    </row>
    <row r="156" spans="2:12" x14ac:dyDescent="0.25">
      <c r="B156" s="33">
        <v>44471</v>
      </c>
      <c r="C156" s="34" t="s">
        <v>14</v>
      </c>
      <c r="D156" s="34" t="s">
        <v>5</v>
      </c>
      <c r="E156" s="13">
        <v>4755551</v>
      </c>
      <c r="F156" s="13">
        <v>4834670</v>
      </c>
      <c r="G156" s="13">
        <v>4714400</v>
      </c>
      <c r="H156" s="13">
        <v>4789979</v>
      </c>
      <c r="I156" s="13">
        <v>76186</v>
      </c>
      <c r="J156" s="35" t="str">
        <f>TRIM(data__2[[#This Row],[Month (old)]])</f>
        <v>Oct</v>
      </c>
      <c r="K156" s="35" t="str">
        <f>TRIM(data__2[[#This Row],[Symbol (old)]])</f>
        <v>BTCUSD</v>
      </c>
      <c r="L156" s="36" t="str">
        <f>LEFT(data__2[[#This Row],[Month (old2)]], 3)</f>
        <v>Oct</v>
      </c>
    </row>
    <row r="157" spans="2:12" x14ac:dyDescent="0.25">
      <c r="B157" s="33">
        <v>44470</v>
      </c>
      <c r="C157" s="34" t="s">
        <v>26</v>
      </c>
      <c r="D157" s="34" t="s">
        <v>18</v>
      </c>
      <c r="E157" s="13">
        <v>431716</v>
      </c>
      <c r="F157" s="13">
        <v>437519</v>
      </c>
      <c r="G157" s="13">
        <v>428852</v>
      </c>
      <c r="H157" s="13">
        <v>435704</v>
      </c>
      <c r="I157" s="13">
        <v>314898000000</v>
      </c>
      <c r="J157" s="35" t="str">
        <f>TRIM(data__2[[#This Row],[Month (old)]])</f>
        <v>October</v>
      </c>
      <c r="K157" s="35" t="str">
        <f>TRIM(data__2[[#This Row],[Symbol (old)]])</f>
        <v>SP500</v>
      </c>
      <c r="L157" s="36" t="str">
        <f>LEFT(data__2[[#This Row],[Month (old2)]], 3)</f>
        <v>Oct</v>
      </c>
    </row>
    <row r="158" spans="2:12" x14ac:dyDescent="0.25">
      <c r="B158" s="33">
        <v>44470</v>
      </c>
      <c r="C158" s="34" t="s">
        <v>14</v>
      </c>
      <c r="D158" s="34" t="s">
        <v>5</v>
      </c>
      <c r="E158" s="13">
        <v>4362816</v>
      </c>
      <c r="F158" s="13">
        <v>4849568</v>
      </c>
      <c r="G158" s="13">
        <v>4347259</v>
      </c>
      <c r="H158" s="13">
        <v>4755551</v>
      </c>
      <c r="I158" s="13">
        <v>325402</v>
      </c>
      <c r="J158" s="35" t="str">
        <f>TRIM(data__2[[#This Row],[Month (old)]])</f>
        <v>Oct</v>
      </c>
      <c r="K158" s="35" t="str">
        <f>TRIM(data__2[[#This Row],[Symbol (old)]])</f>
        <v>BTCUSD</v>
      </c>
      <c r="L158" s="36" t="str">
        <f>LEFT(data__2[[#This Row],[Month (old2)]], 3)</f>
        <v>Oct</v>
      </c>
    </row>
    <row r="159" spans="2:12" x14ac:dyDescent="0.25">
      <c r="B159" s="33">
        <v>44469</v>
      </c>
      <c r="C159" s="34" t="s">
        <v>25</v>
      </c>
      <c r="D159" s="34" t="s">
        <v>18</v>
      </c>
      <c r="E159" s="13">
        <v>437067</v>
      </c>
      <c r="F159" s="13">
        <v>438255</v>
      </c>
      <c r="G159" s="13">
        <v>430624</v>
      </c>
      <c r="H159" s="13">
        <v>430754</v>
      </c>
      <c r="I159" s="13">
        <v>312377000000</v>
      </c>
      <c r="J159" s="35" t="str">
        <f>TRIM(data__2[[#This Row],[Month (old)]])</f>
        <v>September</v>
      </c>
      <c r="K159" s="35" t="str">
        <f>TRIM(data__2[[#This Row],[Symbol (old)]])</f>
        <v>SP500</v>
      </c>
      <c r="L159" s="36" t="str">
        <f>LEFT(data__2[[#This Row],[Month (old2)]], 3)</f>
        <v>Sep</v>
      </c>
    </row>
    <row r="160" spans="2:12" x14ac:dyDescent="0.25">
      <c r="B160" s="33">
        <v>44469</v>
      </c>
      <c r="C160" s="34" t="s">
        <v>13</v>
      </c>
      <c r="D160" s="34" t="s">
        <v>5</v>
      </c>
      <c r="E160" s="13">
        <v>4360120</v>
      </c>
      <c r="F160" s="13">
        <v>4409770</v>
      </c>
      <c r="G160" s="13">
        <v>4270271</v>
      </c>
      <c r="H160" s="13">
        <v>4362816</v>
      </c>
      <c r="I160" s="13">
        <v>189152</v>
      </c>
      <c r="J160" s="35" t="str">
        <f>TRIM(data__2[[#This Row],[Month (old)]])</f>
        <v>Sep</v>
      </c>
      <c r="K160" s="35" t="str">
        <f>TRIM(data__2[[#This Row],[Symbol (old)]])</f>
        <v>BTCUSD</v>
      </c>
      <c r="L160" s="36" t="str">
        <f>LEFT(data__2[[#This Row],[Month (old2)]], 3)</f>
        <v>Sep</v>
      </c>
    </row>
    <row r="161" spans="2:12" x14ac:dyDescent="0.25">
      <c r="B161" s="33">
        <v>44468</v>
      </c>
      <c r="C161" s="34" t="s">
        <v>25</v>
      </c>
      <c r="D161" s="34" t="s">
        <v>18</v>
      </c>
      <c r="E161" s="13">
        <v>436241</v>
      </c>
      <c r="F161" s="13">
        <v>438557</v>
      </c>
      <c r="G161" s="13">
        <v>435508</v>
      </c>
      <c r="H161" s="13">
        <v>435946</v>
      </c>
      <c r="I161" s="13">
        <v>275380000000</v>
      </c>
      <c r="J161" s="35" t="str">
        <f>TRIM(data__2[[#This Row],[Month (old)]])</f>
        <v>September</v>
      </c>
      <c r="K161" s="35" t="str">
        <f>TRIM(data__2[[#This Row],[Symbol (old)]])</f>
        <v>SP500</v>
      </c>
      <c r="L161" s="36" t="str">
        <f>LEFT(data__2[[#This Row],[Month (old2)]], 3)</f>
        <v>Sep</v>
      </c>
    </row>
    <row r="162" spans="2:12" x14ac:dyDescent="0.25">
      <c r="B162" s="33">
        <v>44468</v>
      </c>
      <c r="C162" s="34" t="s">
        <v>13</v>
      </c>
      <c r="D162" s="34" t="s">
        <v>5</v>
      </c>
      <c r="E162" s="13">
        <v>4221047</v>
      </c>
      <c r="F162" s="13">
        <v>4372663</v>
      </c>
      <c r="G162" s="13">
        <v>4090841</v>
      </c>
      <c r="H162" s="13">
        <v>4360120</v>
      </c>
      <c r="I162" s="13">
        <v>151158</v>
      </c>
      <c r="J162" s="35" t="str">
        <f>TRIM(data__2[[#This Row],[Month (old)]])</f>
        <v>Sep</v>
      </c>
      <c r="K162" s="35" t="str">
        <f>TRIM(data__2[[#This Row],[Symbol (old)]])</f>
        <v>BTCUSD</v>
      </c>
      <c r="L162" s="36" t="str">
        <f>LEFT(data__2[[#This Row],[Month (old2)]], 3)</f>
        <v>Sep</v>
      </c>
    </row>
    <row r="163" spans="2:12" x14ac:dyDescent="0.25">
      <c r="B163" s="33">
        <v>44467</v>
      </c>
      <c r="C163" s="34" t="s">
        <v>25</v>
      </c>
      <c r="D163" s="34" t="s">
        <v>18</v>
      </c>
      <c r="E163" s="13">
        <v>441954</v>
      </c>
      <c r="F163" s="13">
        <v>441954</v>
      </c>
      <c r="G163" s="13">
        <v>434633</v>
      </c>
      <c r="H163" s="13">
        <v>435263</v>
      </c>
      <c r="I163" s="13">
        <v>349597000000</v>
      </c>
      <c r="J163" s="35" t="str">
        <f>TRIM(data__2[[#This Row],[Month (old)]])</f>
        <v>September</v>
      </c>
      <c r="K163" s="35" t="str">
        <f>TRIM(data__2[[#This Row],[Symbol (old)]])</f>
        <v>SP500</v>
      </c>
      <c r="L163" s="36" t="str">
        <f>LEFT(data__2[[#This Row],[Month (old2)]], 3)</f>
        <v>Sep</v>
      </c>
    </row>
    <row r="164" spans="2:12" x14ac:dyDescent="0.25">
      <c r="B164" s="33">
        <v>44467</v>
      </c>
      <c r="C164" s="34" t="s">
        <v>13</v>
      </c>
      <c r="D164" s="34" t="s">
        <v>5</v>
      </c>
      <c r="E164" s="13">
        <v>4256516</v>
      </c>
      <c r="F164" s="13">
        <v>4277112</v>
      </c>
      <c r="G164" s="13">
        <v>4076426</v>
      </c>
      <c r="H164" s="13">
        <v>4221047</v>
      </c>
      <c r="I164" s="13">
        <v>210450</v>
      </c>
      <c r="J164" s="35" t="str">
        <f>TRIM(data__2[[#This Row],[Month (old)]])</f>
        <v>Sep</v>
      </c>
      <c r="K164" s="35" t="str">
        <f>TRIM(data__2[[#This Row],[Symbol (old)]])</f>
        <v>BTCUSD</v>
      </c>
      <c r="L164" s="36" t="str">
        <f>LEFT(data__2[[#This Row],[Month (old2)]], 3)</f>
        <v>Sep</v>
      </c>
    </row>
    <row r="165" spans="2:12" x14ac:dyDescent="0.25">
      <c r="B165" s="33">
        <v>44466</v>
      </c>
      <c r="C165" s="34" t="s">
        <v>25</v>
      </c>
      <c r="D165" s="34" t="s">
        <v>18</v>
      </c>
      <c r="E165" s="13">
        <v>444212</v>
      </c>
      <c r="F165" s="13">
        <v>445730</v>
      </c>
      <c r="G165" s="13">
        <v>443619</v>
      </c>
      <c r="H165" s="13">
        <v>444311</v>
      </c>
      <c r="I165" s="13">
        <v>303287000000</v>
      </c>
      <c r="J165" s="35" t="str">
        <f>TRIM(data__2[[#This Row],[Month (old)]])</f>
        <v>September</v>
      </c>
      <c r="K165" s="35" t="str">
        <f>TRIM(data__2[[#This Row],[Symbol (old)]])</f>
        <v>SP500</v>
      </c>
      <c r="L165" s="36" t="str">
        <f>LEFT(data__2[[#This Row],[Month (old2)]], 3)</f>
        <v>Sep</v>
      </c>
    </row>
    <row r="166" spans="2:12" x14ac:dyDescent="0.25">
      <c r="B166" s="33">
        <v>44466</v>
      </c>
      <c r="C166" s="34" t="s">
        <v>13</v>
      </c>
      <c r="D166" s="34" t="s">
        <v>5</v>
      </c>
      <c r="E166" s="13">
        <v>4402427</v>
      </c>
      <c r="F166" s="13">
        <v>4425076</v>
      </c>
      <c r="G166" s="13">
        <v>4198040</v>
      </c>
      <c r="H166" s="13">
        <v>4256516</v>
      </c>
      <c r="I166" s="13">
        <v>153106</v>
      </c>
      <c r="J166" s="35" t="str">
        <f>TRIM(data__2[[#This Row],[Month (old)]])</f>
        <v>Sep</v>
      </c>
      <c r="K166" s="35" t="str">
        <f>TRIM(data__2[[#This Row],[Symbol (old)]])</f>
        <v>BTCUSD</v>
      </c>
      <c r="L166" s="36" t="str">
        <f>LEFT(data__2[[#This Row],[Month (old2)]], 3)</f>
        <v>Sep</v>
      </c>
    </row>
    <row r="167" spans="2:12" x14ac:dyDescent="0.25">
      <c r="B167" s="33">
        <v>44465</v>
      </c>
      <c r="C167" s="34" t="s">
        <v>13</v>
      </c>
      <c r="D167" s="34" t="s">
        <v>5</v>
      </c>
      <c r="E167" s="13">
        <v>4223994</v>
      </c>
      <c r="F167" s="13">
        <v>4435000</v>
      </c>
      <c r="G167" s="13">
        <v>4080119</v>
      </c>
      <c r="H167" s="13">
        <v>4402427</v>
      </c>
      <c r="I167" s="13">
        <v>139568</v>
      </c>
      <c r="J167" s="35" t="str">
        <f>TRIM(data__2[[#This Row],[Month (old)]])</f>
        <v>Sep</v>
      </c>
      <c r="K167" s="35" t="str">
        <f>TRIM(data__2[[#This Row],[Symbol (old)]])</f>
        <v>BTCUSD</v>
      </c>
      <c r="L167" s="36" t="str">
        <f>LEFT(data__2[[#This Row],[Month (old2)]], 3)</f>
        <v>Sep</v>
      </c>
    </row>
    <row r="168" spans="2:12" x14ac:dyDescent="0.25">
      <c r="B168" s="33">
        <v>44464</v>
      </c>
      <c r="C168" s="34" t="s">
        <v>13</v>
      </c>
      <c r="D168" s="34" t="s">
        <v>5</v>
      </c>
      <c r="E168" s="13">
        <v>4265000</v>
      </c>
      <c r="F168" s="13">
        <v>4298506</v>
      </c>
      <c r="G168" s="13">
        <v>4167782</v>
      </c>
      <c r="H168" s="13">
        <v>4223994</v>
      </c>
      <c r="I168" s="13">
        <v>105807</v>
      </c>
      <c r="J168" s="35" t="str">
        <f>TRIM(data__2[[#This Row],[Month (old)]])</f>
        <v>Sep</v>
      </c>
      <c r="K168" s="35" t="str">
        <f>TRIM(data__2[[#This Row],[Symbol (old)]])</f>
        <v>BTCUSD</v>
      </c>
      <c r="L168" s="36" t="str">
        <f>LEFT(data__2[[#This Row],[Month (old2)]], 3)</f>
        <v>Sep</v>
      </c>
    </row>
    <row r="169" spans="2:12" x14ac:dyDescent="0.25">
      <c r="B169" s="33">
        <v>44463</v>
      </c>
      <c r="C169" s="34" t="s">
        <v>25</v>
      </c>
      <c r="D169" s="34" t="s">
        <v>18</v>
      </c>
      <c r="E169" s="13">
        <v>443804</v>
      </c>
      <c r="F169" s="13">
        <v>446312</v>
      </c>
      <c r="G169" s="13">
        <v>443027</v>
      </c>
      <c r="H169" s="13">
        <v>445548</v>
      </c>
      <c r="I169" s="13">
        <v>277209000000</v>
      </c>
      <c r="J169" s="35" t="str">
        <f>TRIM(data__2[[#This Row],[Month (old)]])</f>
        <v>September</v>
      </c>
      <c r="K169" s="35" t="str">
        <f>TRIM(data__2[[#This Row],[Symbol (old)]])</f>
        <v>SP500</v>
      </c>
      <c r="L169" s="36" t="str">
        <f>LEFT(data__2[[#This Row],[Month (old2)]], 3)</f>
        <v>Sep</v>
      </c>
    </row>
    <row r="170" spans="2:12" x14ac:dyDescent="0.25">
      <c r="B170" s="33">
        <v>44463</v>
      </c>
      <c r="C170" s="34" t="s">
        <v>13</v>
      </c>
      <c r="D170" s="34" t="s">
        <v>5</v>
      </c>
      <c r="E170" s="13">
        <v>4430100</v>
      </c>
      <c r="F170" s="13">
        <v>4515781</v>
      </c>
      <c r="G170" s="13">
        <v>4069600</v>
      </c>
      <c r="H170" s="13">
        <v>4265000</v>
      </c>
      <c r="I170" s="13">
        <v>439827</v>
      </c>
      <c r="J170" s="35" t="str">
        <f>TRIM(data__2[[#This Row],[Month (old)]])</f>
        <v>Sep</v>
      </c>
      <c r="K170" s="35" t="str">
        <f>TRIM(data__2[[#This Row],[Symbol (old)]])</f>
        <v>BTCUSD</v>
      </c>
      <c r="L170" s="36" t="str">
        <f>LEFT(data__2[[#This Row],[Month (old2)]], 3)</f>
        <v>Sep</v>
      </c>
    </row>
    <row r="171" spans="2:12" x14ac:dyDescent="0.25">
      <c r="B171" s="33">
        <v>44462</v>
      </c>
      <c r="C171" s="34" t="s">
        <v>25</v>
      </c>
      <c r="D171" s="34" t="s">
        <v>18</v>
      </c>
      <c r="E171" s="13">
        <v>440675</v>
      </c>
      <c r="F171" s="13">
        <v>446540</v>
      </c>
      <c r="G171" s="13">
        <v>440675</v>
      </c>
      <c r="H171" s="13">
        <v>444898</v>
      </c>
      <c r="I171" s="13">
        <v>283329000000</v>
      </c>
      <c r="J171" s="35" t="str">
        <f>TRIM(data__2[[#This Row],[Month (old)]])</f>
        <v>September</v>
      </c>
      <c r="K171" s="35" t="str">
        <f>TRIM(data__2[[#This Row],[Symbol (old)]])</f>
        <v>SP500</v>
      </c>
      <c r="L171" s="36" t="str">
        <f>LEFT(data__2[[#This Row],[Month (old2)]], 3)</f>
        <v>Sep</v>
      </c>
    </row>
    <row r="172" spans="2:12" x14ac:dyDescent="0.25">
      <c r="B172" s="33">
        <v>44462</v>
      </c>
      <c r="C172" s="34" t="s">
        <v>13</v>
      </c>
      <c r="D172" s="34" t="s">
        <v>5</v>
      </c>
      <c r="E172" s="13">
        <v>4409455</v>
      </c>
      <c r="F172" s="13">
        <v>4506297</v>
      </c>
      <c r="G172" s="13">
        <v>4338994</v>
      </c>
      <c r="H172" s="13">
        <v>4430100</v>
      </c>
      <c r="I172" s="13">
        <v>169982</v>
      </c>
      <c r="J172" s="35" t="str">
        <f>TRIM(data__2[[#This Row],[Month (old)]])</f>
        <v>Sep</v>
      </c>
      <c r="K172" s="35" t="str">
        <f>TRIM(data__2[[#This Row],[Symbol (old)]])</f>
        <v>BTCUSD</v>
      </c>
      <c r="L172" s="36" t="str">
        <f>LEFT(data__2[[#This Row],[Month (old2)]], 3)</f>
        <v>Sep</v>
      </c>
    </row>
    <row r="173" spans="2:12" x14ac:dyDescent="0.25">
      <c r="B173" s="33">
        <v>44461</v>
      </c>
      <c r="C173" s="34" t="s">
        <v>25</v>
      </c>
      <c r="D173" s="34" t="s">
        <v>18</v>
      </c>
      <c r="E173" s="13">
        <v>436743</v>
      </c>
      <c r="F173" s="13">
        <v>441675</v>
      </c>
      <c r="G173" s="13">
        <v>436743</v>
      </c>
      <c r="H173" s="13">
        <v>439564</v>
      </c>
      <c r="I173" s="13">
        <v>327367000000</v>
      </c>
      <c r="J173" s="35" t="str">
        <f>TRIM(data__2[[#This Row],[Month (old)]])</f>
        <v>September</v>
      </c>
      <c r="K173" s="35" t="str">
        <f>TRIM(data__2[[#This Row],[Symbol (old)]])</f>
        <v>SP500</v>
      </c>
      <c r="L173" s="36" t="str">
        <f>LEFT(data__2[[#This Row],[Month (old2)]], 3)</f>
        <v>Sep</v>
      </c>
    </row>
    <row r="174" spans="2:12" x14ac:dyDescent="0.25">
      <c r="B174" s="33">
        <v>44461</v>
      </c>
      <c r="C174" s="34" t="s">
        <v>13</v>
      </c>
      <c r="D174" s="34" t="s">
        <v>5</v>
      </c>
      <c r="E174" s="13">
        <v>4208988</v>
      </c>
      <c r="F174" s="13">
        <v>4423192</v>
      </c>
      <c r="G174" s="13">
        <v>4183659</v>
      </c>
      <c r="H174" s="13">
        <v>4409455</v>
      </c>
      <c r="I174" s="13">
        <v>123861</v>
      </c>
      <c r="J174" s="35" t="str">
        <f>TRIM(data__2[[#This Row],[Month (old)]])</f>
        <v>Sep</v>
      </c>
      <c r="K174" s="35" t="str">
        <f>TRIM(data__2[[#This Row],[Symbol (old)]])</f>
        <v>BTCUSD</v>
      </c>
      <c r="L174" s="36" t="str">
        <f>LEFT(data__2[[#This Row],[Month (old2)]], 3)</f>
        <v>Sep</v>
      </c>
    </row>
    <row r="175" spans="2:12" x14ac:dyDescent="0.25">
      <c r="B175" s="33">
        <v>44460</v>
      </c>
      <c r="C175" s="34" t="s">
        <v>25</v>
      </c>
      <c r="D175" s="34" t="s">
        <v>18</v>
      </c>
      <c r="E175" s="13">
        <v>437445</v>
      </c>
      <c r="F175" s="13">
        <v>439487</v>
      </c>
      <c r="G175" s="13">
        <v>434796</v>
      </c>
      <c r="H175" s="13">
        <v>435419</v>
      </c>
      <c r="I175" s="13">
        <v>304430000000</v>
      </c>
      <c r="J175" s="35" t="str">
        <f>TRIM(data__2[[#This Row],[Month (old)]])</f>
        <v>September</v>
      </c>
      <c r="K175" s="35" t="str">
        <f>TRIM(data__2[[#This Row],[Symbol (old)]])</f>
        <v>SP500</v>
      </c>
      <c r="L175" s="36" t="str">
        <f>LEFT(data__2[[#This Row],[Month (old2)]], 3)</f>
        <v>Sep</v>
      </c>
    </row>
    <row r="176" spans="2:12" x14ac:dyDescent="0.25">
      <c r="B176" s="33">
        <v>44460</v>
      </c>
      <c r="C176" s="34" t="s">
        <v>13</v>
      </c>
      <c r="D176" s="34" t="s">
        <v>5</v>
      </c>
      <c r="E176" s="13">
        <v>4268803</v>
      </c>
      <c r="F176" s="13">
        <v>4365553</v>
      </c>
      <c r="G176" s="13">
        <v>3959000</v>
      </c>
      <c r="H176" s="13">
        <v>4208988</v>
      </c>
      <c r="I176" s="13">
        <v>296261</v>
      </c>
      <c r="J176" s="35" t="str">
        <f>TRIM(data__2[[#This Row],[Month (old)]])</f>
        <v>Sep</v>
      </c>
      <c r="K176" s="35" t="str">
        <f>TRIM(data__2[[#This Row],[Symbol (old)]])</f>
        <v>BTCUSD</v>
      </c>
      <c r="L176" s="36" t="str">
        <f>LEFT(data__2[[#This Row],[Month (old2)]], 3)</f>
        <v>Sep</v>
      </c>
    </row>
    <row r="177" spans="2:12" x14ac:dyDescent="0.25">
      <c r="B177" s="33">
        <v>44459</v>
      </c>
      <c r="C177" s="34" t="s">
        <v>25</v>
      </c>
      <c r="D177" s="34" t="s">
        <v>18</v>
      </c>
      <c r="E177" s="13">
        <v>440295</v>
      </c>
      <c r="F177" s="13">
        <v>440295</v>
      </c>
      <c r="G177" s="13">
        <v>430591</v>
      </c>
      <c r="H177" s="13">
        <v>435773</v>
      </c>
      <c r="I177" s="13">
        <v>377368000000</v>
      </c>
      <c r="J177" s="35" t="str">
        <f>TRIM(data__2[[#This Row],[Month (old)]])</f>
        <v>September</v>
      </c>
      <c r="K177" s="35" t="str">
        <f>TRIM(data__2[[#This Row],[Symbol (old)]])</f>
        <v>SP500</v>
      </c>
      <c r="L177" s="36" t="str">
        <f>LEFT(data__2[[#This Row],[Month (old2)]], 3)</f>
        <v>Sep</v>
      </c>
    </row>
    <row r="178" spans="2:12" x14ac:dyDescent="0.25">
      <c r="B178" s="33">
        <v>44459</v>
      </c>
      <c r="C178" s="34" t="s">
        <v>13</v>
      </c>
      <c r="D178" s="34" t="s">
        <v>5</v>
      </c>
      <c r="E178" s="13">
        <v>4555362</v>
      </c>
      <c r="F178" s="13">
        <v>4583790</v>
      </c>
      <c r="G178" s="13">
        <v>4013798</v>
      </c>
      <c r="H178" s="13">
        <v>4268803</v>
      </c>
      <c r="I178" s="13">
        <v>437338</v>
      </c>
      <c r="J178" s="35" t="str">
        <f>TRIM(data__2[[#This Row],[Month (old)]])</f>
        <v>Sep</v>
      </c>
      <c r="K178" s="35" t="str">
        <f>TRIM(data__2[[#This Row],[Symbol (old)]])</f>
        <v>BTCUSD</v>
      </c>
      <c r="L178" s="36" t="str">
        <f>LEFT(data__2[[#This Row],[Month (old2)]], 3)</f>
        <v>Sep</v>
      </c>
    </row>
    <row r="179" spans="2:12" x14ac:dyDescent="0.25">
      <c r="B179" s="33">
        <v>44458</v>
      </c>
      <c r="C179" s="34" t="s">
        <v>13</v>
      </c>
      <c r="D179" s="34" t="s">
        <v>5</v>
      </c>
      <c r="E179" s="13">
        <v>4785423</v>
      </c>
      <c r="F179" s="13">
        <v>4833332</v>
      </c>
      <c r="G179" s="13">
        <v>4517520</v>
      </c>
      <c r="H179" s="13">
        <v>4555362</v>
      </c>
      <c r="I179" s="13">
        <v>86071</v>
      </c>
      <c r="J179" s="35" t="str">
        <f>TRIM(data__2[[#This Row],[Month (old)]])</f>
        <v>Sep</v>
      </c>
      <c r="K179" s="35" t="str">
        <f>TRIM(data__2[[#This Row],[Symbol (old)]])</f>
        <v>BTCUSD</v>
      </c>
      <c r="L179" s="36" t="str">
        <f>LEFT(data__2[[#This Row],[Month (old2)]], 3)</f>
        <v>Sep</v>
      </c>
    </row>
    <row r="180" spans="2:12" x14ac:dyDescent="0.25">
      <c r="B180" s="33">
        <v>44457</v>
      </c>
      <c r="C180" s="34" t="s">
        <v>13</v>
      </c>
      <c r="D180" s="34" t="s">
        <v>5</v>
      </c>
      <c r="E180" s="13">
        <v>4796279</v>
      </c>
      <c r="F180" s="13">
        <v>4880897</v>
      </c>
      <c r="G180" s="13">
        <v>4761393</v>
      </c>
      <c r="H180" s="13">
        <v>4785423</v>
      </c>
      <c r="I180" s="13">
        <v>67136</v>
      </c>
      <c r="J180" s="35" t="str">
        <f>TRIM(data__2[[#This Row],[Month (old)]])</f>
        <v>Sep</v>
      </c>
      <c r="K180" s="35" t="str">
        <f>TRIM(data__2[[#This Row],[Symbol (old)]])</f>
        <v>BTCUSD</v>
      </c>
      <c r="L180" s="36" t="str">
        <f>LEFT(data__2[[#This Row],[Month (old2)]], 3)</f>
        <v>Sep</v>
      </c>
    </row>
    <row r="181" spans="2:12" x14ac:dyDescent="0.25">
      <c r="B181" s="33">
        <v>44456</v>
      </c>
      <c r="C181" s="34" t="s">
        <v>25</v>
      </c>
      <c r="D181" s="34" t="s">
        <v>18</v>
      </c>
      <c r="E181" s="13">
        <v>446974</v>
      </c>
      <c r="F181" s="13">
        <v>447152</v>
      </c>
      <c r="G181" s="13">
        <v>442776</v>
      </c>
      <c r="H181" s="13">
        <v>443299</v>
      </c>
      <c r="I181" s="13">
        <v>562221000000</v>
      </c>
      <c r="J181" s="35" t="str">
        <f>TRIM(data__2[[#This Row],[Month (old)]])</f>
        <v>September</v>
      </c>
      <c r="K181" s="35" t="str">
        <f>TRIM(data__2[[#This Row],[Symbol (old)]])</f>
        <v>SP500</v>
      </c>
      <c r="L181" s="36" t="str">
        <f>LEFT(data__2[[#This Row],[Month (old2)]], 3)</f>
        <v>Sep</v>
      </c>
    </row>
    <row r="182" spans="2:12" x14ac:dyDescent="0.25">
      <c r="B182" s="33">
        <v>44456</v>
      </c>
      <c r="C182" s="34" t="s">
        <v>13</v>
      </c>
      <c r="D182" s="34" t="s">
        <v>5</v>
      </c>
      <c r="E182" s="13">
        <v>4790700</v>
      </c>
      <c r="F182" s="13">
        <v>4816596</v>
      </c>
      <c r="G182" s="13">
        <v>4675493</v>
      </c>
      <c r="H182" s="13">
        <v>4796279</v>
      </c>
      <c r="I182" s="13">
        <v>124738</v>
      </c>
      <c r="J182" s="35" t="str">
        <f>TRIM(data__2[[#This Row],[Month (old)]])</f>
        <v>Sep</v>
      </c>
      <c r="K182" s="35" t="str">
        <f>TRIM(data__2[[#This Row],[Symbol (old)]])</f>
        <v>BTCUSD</v>
      </c>
      <c r="L182" s="36" t="str">
        <f>LEFT(data__2[[#This Row],[Month (old2)]], 3)</f>
        <v>Sep</v>
      </c>
    </row>
    <row r="183" spans="2:12" x14ac:dyDescent="0.25">
      <c r="B183" s="33">
        <v>44455</v>
      </c>
      <c r="C183" s="34" t="s">
        <v>25</v>
      </c>
      <c r="D183" s="34" t="s">
        <v>18</v>
      </c>
      <c r="E183" s="13">
        <v>447709</v>
      </c>
      <c r="F183" s="13">
        <v>448587</v>
      </c>
      <c r="G183" s="13">
        <v>444380</v>
      </c>
      <c r="H183" s="13">
        <v>447375</v>
      </c>
      <c r="I183" s="13">
        <v>332103000000</v>
      </c>
      <c r="J183" s="35" t="str">
        <f>TRIM(data__2[[#This Row],[Month (old)]])</f>
        <v>September</v>
      </c>
      <c r="K183" s="35" t="str">
        <f>TRIM(data__2[[#This Row],[Symbol (old)]])</f>
        <v>SP500</v>
      </c>
      <c r="L183" s="36" t="str">
        <f>LEFT(data__2[[#This Row],[Month (old2)]], 3)</f>
        <v>Sep</v>
      </c>
    </row>
    <row r="184" spans="2:12" x14ac:dyDescent="0.25">
      <c r="B184" s="33">
        <v>44455</v>
      </c>
      <c r="C184" s="34" t="s">
        <v>13</v>
      </c>
      <c r="D184" s="34" t="s">
        <v>5</v>
      </c>
      <c r="E184" s="13">
        <v>4762910</v>
      </c>
      <c r="F184" s="13">
        <v>4850000</v>
      </c>
      <c r="G184" s="13">
        <v>4704124</v>
      </c>
      <c r="H184" s="13">
        <v>4790700</v>
      </c>
      <c r="I184" s="13">
        <v>106957</v>
      </c>
      <c r="J184" s="35" t="str">
        <f>TRIM(data__2[[#This Row],[Month (old)]])</f>
        <v>Sep</v>
      </c>
      <c r="K184" s="35" t="str">
        <f>TRIM(data__2[[#This Row],[Symbol (old)]])</f>
        <v>BTCUSD</v>
      </c>
      <c r="L184" s="36" t="str">
        <f>LEFT(data__2[[#This Row],[Month (old2)]], 3)</f>
        <v>Sep</v>
      </c>
    </row>
    <row r="185" spans="2:12" x14ac:dyDescent="0.25">
      <c r="B185" s="33">
        <v>44454</v>
      </c>
      <c r="C185" s="34" t="s">
        <v>25</v>
      </c>
      <c r="D185" s="34" t="s">
        <v>18</v>
      </c>
      <c r="E185" s="13">
        <v>444749</v>
      </c>
      <c r="F185" s="13">
        <v>448687</v>
      </c>
      <c r="G185" s="13">
        <v>443837</v>
      </c>
      <c r="H185" s="13">
        <v>448070</v>
      </c>
      <c r="I185" s="13">
        <v>315476000000</v>
      </c>
      <c r="J185" s="35" t="str">
        <f>TRIM(data__2[[#This Row],[Month (old)]])</f>
        <v>September</v>
      </c>
      <c r="K185" s="35" t="str">
        <f>TRIM(data__2[[#This Row],[Symbol (old)]])</f>
        <v>SP500</v>
      </c>
      <c r="L185" s="36" t="str">
        <f>LEFT(data__2[[#This Row],[Month (old2)]], 3)</f>
        <v>Sep</v>
      </c>
    </row>
    <row r="186" spans="2:12" x14ac:dyDescent="0.25">
      <c r="B186" s="33">
        <v>44454</v>
      </c>
      <c r="C186" s="34" t="s">
        <v>13</v>
      </c>
      <c r="D186" s="34" t="s">
        <v>5</v>
      </c>
      <c r="E186" s="13">
        <v>4710127</v>
      </c>
      <c r="F186" s="13">
        <v>4845516</v>
      </c>
      <c r="G186" s="13">
        <v>4673015</v>
      </c>
      <c r="H186" s="13">
        <v>4762910</v>
      </c>
      <c r="I186" s="13">
        <v>127662</v>
      </c>
      <c r="J186" s="35" t="str">
        <f>TRIM(data__2[[#This Row],[Month (old)]])</f>
        <v>Sep</v>
      </c>
      <c r="K186" s="35" t="str">
        <f>TRIM(data__2[[#This Row],[Symbol (old)]])</f>
        <v>BTCUSD</v>
      </c>
      <c r="L186" s="36" t="str">
        <f>LEFT(data__2[[#This Row],[Month (old2)]], 3)</f>
        <v>Sep</v>
      </c>
    </row>
    <row r="187" spans="2:12" x14ac:dyDescent="0.25">
      <c r="B187" s="33">
        <v>44453</v>
      </c>
      <c r="C187" s="34" t="s">
        <v>25</v>
      </c>
      <c r="D187" s="34" t="s">
        <v>18</v>
      </c>
      <c r="E187" s="13">
        <v>447933</v>
      </c>
      <c r="F187" s="13">
        <v>448568</v>
      </c>
      <c r="G187" s="13">
        <v>443546</v>
      </c>
      <c r="H187" s="13">
        <v>444305</v>
      </c>
      <c r="I187" s="13">
        <v>256873000000</v>
      </c>
      <c r="J187" s="35" t="str">
        <f>TRIM(data__2[[#This Row],[Month (old)]])</f>
        <v>September</v>
      </c>
      <c r="K187" s="35" t="str">
        <f>TRIM(data__2[[#This Row],[Symbol (old)]])</f>
        <v>SP500</v>
      </c>
      <c r="L187" s="36" t="str">
        <f>LEFT(data__2[[#This Row],[Month (old2)]], 3)</f>
        <v>Sep</v>
      </c>
    </row>
    <row r="188" spans="2:12" x14ac:dyDescent="0.25">
      <c r="B188" s="33">
        <v>44453</v>
      </c>
      <c r="C188" s="34" t="s">
        <v>13</v>
      </c>
      <c r="D188" s="34" t="s">
        <v>5</v>
      </c>
      <c r="E188" s="13">
        <v>4520643</v>
      </c>
      <c r="F188" s="13">
        <v>4749854</v>
      </c>
      <c r="G188" s="13">
        <v>4506751</v>
      </c>
      <c r="H188" s="13">
        <v>4710127</v>
      </c>
      <c r="I188" s="13">
        <v>151606</v>
      </c>
      <c r="J188" s="35" t="str">
        <f>TRIM(data__2[[#This Row],[Month (old)]])</f>
        <v>Sep</v>
      </c>
      <c r="K188" s="35" t="str">
        <f>TRIM(data__2[[#This Row],[Symbol (old)]])</f>
        <v>BTCUSD</v>
      </c>
      <c r="L188" s="36" t="str">
        <f>LEFT(data__2[[#This Row],[Month (old2)]], 3)</f>
        <v>Sep</v>
      </c>
    </row>
    <row r="189" spans="2:12" x14ac:dyDescent="0.25">
      <c r="B189" s="33">
        <v>44452</v>
      </c>
      <c r="C189" s="34" t="s">
        <v>25</v>
      </c>
      <c r="D189" s="34" t="s">
        <v>18</v>
      </c>
      <c r="E189" s="13">
        <v>447481</v>
      </c>
      <c r="F189" s="13">
        <v>449299</v>
      </c>
      <c r="G189" s="13">
        <v>444570</v>
      </c>
      <c r="H189" s="13">
        <v>446873</v>
      </c>
      <c r="I189" s="13">
        <v>309639000000</v>
      </c>
      <c r="J189" s="35" t="str">
        <f>TRIM(data__2[[#This Row],[Month (old)]])</f>
        <v>September</v>
      </c>
      <c r="K189" s="35" t="str">
        <f>TRIM(data__2[[#This Row],[Symbol (old)]])</f>
        <v>SP500</v>
      </c>
      <c r="L189" s="36" t="str">
        <f>LEFT(data__2[[#This Row],[Month (old2)]], 3)</f>
        <v>Sep</v>
      </c>
    </row>
    <row r="190" spans="2:12" x14ac:dyDescent="0.25">
      <c r="B190" s="33">
        <v>44452</v>
      </c>
      <c r="C190" s="34" t="s">
        <v>13</v>
      </c>
      <c r="D190" s="34" t="s">
        <v>5</v>
      </c>
      <c r="E190" s="13">
        <v>4461912</v>
      </c>
      <c r="F190" s="13">
        <v>4689700</v>
      </c>
      <c r="G190" s="13">
        <v>4340000</v>
      </c>
      <c r="H190" s="13">
        <v>4520643</v>
      </c>
      <c r="I190" s="13">
        <v>242225</v>
      </c>
      <c r="J190" s="35" t="str">
        <f>TRIM(data__2[[#This Row],[Month (old)]])</f>
        <v>Sep</v>
      </c>
      <c r="K190" s="35" t="str">
        <f>TRIM(data__2[[#This Row],[Symbol (old)]])</f>
        <v>BTCUSD</v>
      </c>
      <c r="L190" s="36" t="str">
        <f>LEFT(data__2[[#This Row],[Month (old2)]], 3)</f>
        <v>Sep</v>
      </c>
    </row>
    <row r="191" spans="2:12" x14ac:dyDescent="0.25">
      <c r="B191" s="33">
        <v>44451</v>
      </c>
      <c r="C191" s="34" t="s">
        <v>13</v>
      </c>
      <c r="D191" s="34" t="s">
        <v>5</v>
      </c>
      <c r="E191" s="13">
        <v>4531146</v>
      </c>
      <c r="F191" s="13">
        <v>4650462</v>
      </c>
      <c r="G191" s="13">
        <v>4453526</v>
      </c>
      <c r="H191" s="13">
        <v>4461912</v>
      </c>
      <c r="I191" s="13">
        <v>89338</v>
      </c>
      <c r="J191" s="35" t="str">
        <f>TRIM(data__2[[#This Row],[Month (old)]])</f>
        <v>Sep</v>
      </c>
      <c r="K191" s="35" t="str">
        <f>TRIM(data__2[[#This Row],[Symbol (old)]])</f>
        <v>BTCUSD</v>
      </c>
      <c r="L191" s="36" t="str">
        <f>LEFT(data__2[[#This Row],[Month (old2)]], 3)</f>
        <v>Sep</v>
      </c>
    </row>
    <row r="192" spans="2:12" x14ac:dyDescent="0.25">
      <c r="B192" s="33">
        <v>44450</v>
      </c>
      <c r="C192" s="34" t="s">
        <v>13</v>
      </c>
      <c r="D192" s="34" t="s">
        <v>5</v>
      </c>
      <c r="E192" s="13">
        <v>4518152</v>
      </c>
      <c r="F192" s="13">
        <v>4600133</v>
      </c>
      <c r="G192" s="13">
        <v>4475859</v>
      </c>
      <c r="H192" s="13">
        <v>4531146</v>
      </c>
      <c r="I192" s="13">
        <v>68532</v>
      </c>
      <c r="J192" s="35" t="str">
        <f>TRIM(data__2[[#This Row],[Month (old)]])</f>
        <v>Sep</v>
      </c>
      <c r="K192" s="35" t="str">
        <f>TRIM(data__2[[#This Row],[Symbol (old)]])</f>
        <v>BTCUSD</v>
      </c>
      <c r="L192" s="36" t="str">
        <f>LEFT(data__2[[#This Row],[Month (old2)]], 3)</f>
        <v>Sep</v>
      </c>
    </row>
    <row r="193" spans="2:12" x14ac:dyDescent="0.25">
      <c r="B193" s="33">
        <v>44449</v>
      </c>
      <c r="C193" s="34" t="s">
        <v>25</v>
      </c>
      <c r="D193" s="34" t="s">
        <v>18</v>
      </c>
      <c r="E193" s="13">
        <v>450692</v>
      </c>
      <c r="F193" s="13">
        <v>452047</v>
      </c>
      <c r="G193" s="13">
        <v>445766</v>
      </c>
      <c r="H193" s="13">
        <v>445858</v>
      </c>
      <c r="I193" s="13">
        <v>285114000000</v>
      </c>
      <c r="J193" s="35" t="str">
        <f>TRIM(data__2[[#This Row],[Month (old)]])</f>
        <v>September</v>
      </c>
      <c r="K193" s="35" t="str">
        <f>TRIM(data__2[[#This Row],[Symbol (old)]])</f>
        <v>SP500</v>
      </c>
      <c r="L193" s="36" t="str">
        <f>LEFT(data__2[[#This Row],[Month (old2)]], 3)</f>
        <v>Sep</v>
      </c>
    </row>
    <row r="194" spans="2:12" x14ac:dyDescent="0.25">
      <c r="B194" s="33">
        <v>44449</v>
      </c>
      <c r="C194" s="34" t="s">
        <v>13</v>
      </c>
      <c r="D194" s="34" t="s">
        <v>5</v>
      </c>
      <c r="E194" s="13">
        <v>4674340</v>
      </c>
      <c r="F194" s="13">
        <v>4681287</v>
      </c>
      <c r="G194" s="13">
        <v>4415688</v>
      </c>
      <c r="H194" s="13">
        <v>4518152</v>
      </c>
      <c r="I194" s="13">
        <v>178343</v>
      </c>
      <c r="J194" s="35" t="str">
        <f>TRIM(data__2[[#This Row],[Month (old)]])</f>
        <v>Sep</v>
      </c>
      <c r="K194" s="35" t="str">
        <f>TRIM(data__2[[#This Row],[Symbol (old)]])</f>
        <v>BTCUSD</v>
      </c>
      <c r="L194" s="36" t="str">
        <f>LEFT(data__2[[#This Row],[Month (old2)]], 3)</f>
        <v>Sep</v>
      </c>
    </row>
    <row r="195" spans="2:12" x14ac:dyDescent="0.25">
      <c r="B195" s="33">
        <v>44448</v>
      </c>
      <c r="C195" s="34" t="s">
        <v>25</v>
      </c>
      <c r="D195" s="34" t="s">
        <v>18</v>
      </c>
      <c r="E195" s="13">
        <v>451302</v>
      </c>
      <c r="F195" s="13">
        <v>452990</v>
      </c>
      <c r="G195" s="13">
        <v>449207</v>
      </c>
      <c r="H195" s="13">
        <v>449328</v>
      </c>
      <c r="I195" s="13">
        <v>303530000000</v>
      </c>
      <c r="J195" s="35" t="str">
        <f>TRIM(data__2[[#This Row],[Month (old)]])</f>
        <v>September</v>
      </c>
      <c r="K195" s="35" t="str">
        <f>TRIM(data__2[[#This Row],[Symbol (old)]])</f>
        <v>SP500</v>
      </c>
      <c r="L195" s="36" t="str">
        <f>LEFT(data__2[[#This Row],[Month (old2)]], 3)</f>
        <v>Sep</v>
      </c>
    </row>
    <row r="196" spans="2:12" x14ac:dyDescent="0.25">
      <c r="B196" s="33">
        <v>44448</v>
      </c>
      <c r="C196" s="34" t="s">
        <v>13</v>
      </c>
      <c r="D196" s="34" t="s">
        <v>5</v>
      </c>
      <c r="E196" s="13">
        <v>4600527</v>
      </c>
      <c r="F196" s="13">
        <v>4739638</v>
      </c>
      <c r="G196" s="13">
        <v>4565186</v>
      </c>
      <c r="H196" s="13">
        <v>4674340</v>
      </c>
      <c r="I196" s="13">
        <v>156322</v>
      </c>
      <c r="J196" s="35" t="str">
        <f>TRIM(data__2[[#This Row],[Month (old)]])</f>
        <v>Sep</v>
      </c>
      <c r="K196" s="35" t="str">
        <f>TRIM(data__2[[#This Row],[Symbol (old)]])</f>
        <v>BTCUSD</v>
      </c>
      <c r="L196" s="36" t="str">
        <f>LEFT(data__2[[#This Row],[Month (old2)]], 3)</f>
        <v>Sep</v>
      </c>
    </row>
    <row r="197" spans="2:12" x14ac:dyDescent="0.25">
      <c r="B197" s="33">
        <v>44447</v>
      </c>
      <c r="C197" s="34" t="s">
        <v>25</v>
      </c>
      <c r="D197" s="34" t="s">
        <v>18</v>
      </c>
      <c r="E197" s="13">
        <v>451809</v>
      </c>
      <c r="F197" s="13">
        <v>452179</v>
      </c>
      <c r="G197" s="13">
        <v>449395</v>
      </c>
      <c r="H197" s="13">
        <v>451407</v>
      </c>
      <c r="I197" s="13">
        <v>280848000000</v>
      </c>
      <c r="J197" s="35" t="str">
        <f>TRIM(data__2[[#This Row],[Month (old)]])</f>
        <v>September</v>
      </c>
      <c r="K197" s="35" t="str">
        <f>TRIM(data__2[[#This Row],[Symbol (old)]])</f>
        <v>SP500</v>
      </c>
      <c r="L197" s="36" t="str">
        <f>LEFT(data__2[[#This Row],[Month (old2)]], 3)</f>
        <v>Sep</v>
      </c>
    </row>
    <row r="198" spans="2:12" x14ac:dyDescent="0.25">
      <c r="B198" s="33">
        <v>44447</v>
      </c>
      <c r="C198" s="34" t="s">
        <v>13</v>
      </c>
      <c r="D198" s="34" t="s">
        <v>5</v>
      </c>
      <c r="E198" s="13">
        <v>4649038</v>
      </c>
      <c r="F198" s="13">
        <v>4688538</v>
      </c>
      <c r="G198" s="13">
        <v>4441950</v>
      </c>
      <c r="H198" s="13">
        <v>4600527</v>
      </c>
      <c r="I198" s="13">
        <v>227731</v>
      </c>
      <c r="J198" s="35" t="str">
        <f>TRIM(data__2[[#This Row],[Month (old)]])</f>
        <v>Sep</v>
      </c>
      <c r="K198" s="35" t="str">
        <f>TRIM(data__2[[#This Row],[Symbol (old)]])</f>
        <v>BTCUSD</v>
      </c>
      <c r="L198" s="36" t="str">
        <f>LEFT(data__2[[#This Row],[Month (old2)]], 3)</f>
        <v>Sep</v>
      </c>
    </row>
    <row r="199" spans="2:12" x14ac:dyDescent="0.25">
      <c r="B199" s="33">
        <v>44446</v>
      </c>
      <c r="C199" s="34" t="s">
        <v>25</v>
      </c>
      <c r="D199" s="34" t="s">
        <v>18</v>
      </c>
      <c r="E199" s="13">
        <v>453538</v>
      </c>
      <c r="F199" s="13">
        <v>453538</v>
      </c>
      <c r="G199" s="13">
        <v>451300</v>
      </c>
      <c r="H199" s="13">
        <v>452003</v>
      </c>
      <c r="I199" s="13">
        <v>309887000000</v>
      </c>
      <c r="J199" s="35" t="str">
        <f>TRIM(data__2[[#This Row],[Month (old)]])</f>
        <v>September</v>
      </c>
      <c r="K199" s="35" t="str">
        <f>TRIM(data__2[[#This Row],[Symbol (old)]])</f>
        <v>SP500</v>
      </c>
      <c r="L199" s="36" t="str">
        <f>LEFT(data__2[[#This Row],[Month (old2)]], 3)</f>
        <v>Sep</v>
      </c>
    </row>
    <row r="200" spans="2:12" x14ac:dyDescent="0.25">
      <c r="B200" s="33">
        <v>44446</v>
      </c>
      <c r="C200" s="34" t="s">
        <v>13</v>
      </c>
      <c r="D200" s="34" t="s">
        <v>5</v>
      </c>
      <c r="E200" s="13">
        <v>5266345</v>
      </c>
      <c r="F200" s="13">
        <v>5274448</v>
      </c>
      <c r="G200" s="13">
        <v>4260000</v>
      </c>
      <c r="H200" s="13">
        <v>4649038</v>
      </c>
      <c r="I200" s="13">
        <v>451357</v>
      </c>
      <c r="J200" s="35" t="str">
        <f>TRIM(data__2[[#This Row],[Month (old)]])</f>
        <v>Sep</v>
      </c>
      <c r="K200" s="35" t="str">
        <f>TRIM(data__2[[#This Row],[Symbol (old)]])</f>
        <v>BTCUSD</v>
      </c>
      <c r="L200" s="36" t="str">
        <f>LEFT(data__2[[#This Row],[Month (old2)]], 3)</f>
        <v>Sep</v>
      </c>
    </row>
    <row r="201" spans="2:12" x14ac:dyDescent="0.25">
      <c r="B201" s="33">
        <v>44445</v>
      </c>
      <c r="C201" s="34" t="s">
        <v>13</v>
      </c>
      <c r="D201" s="34" t="s">
        <v>5</v>
      </c>
      <c r="E201" s="13">
        <v>5163818</v>
      </c>
      <c r="F201" s="13">
        <v>5293878</v>
      </c>
      <c r="G201" s="13">
        <v>5100337</v>
      </c>
      <c r="H201" s="13">
        <v>5266345</v>
      </c>
      <c r="I201" s="13">
        <v>140874</v>
      </c>
      <c r="J201" s="35" t="str">
        <f>TRIM(data__2[[#This Row],[Month (old)]])</f>
        <v>Sep</v>
      </c>
      <c r="K201" s="35" t="str">
        <f>TRIM(data__2[[#This Row],[Symbol (old)]])</f>
        <v>BTCUSD</v>
      </c>
      <c r="L201" s="36" t="str">
        <f>LEFT(data__2[[#This Row],[Month (old2)]], 3)</f>
        <v>Sep</v>
      </c>
    </row>
    <row r="202" spans="2:12" x14ac:dyDescent="0.25">
      <c r="B202" s="33">
        <v>44444</v>
      </c>
      <c r="C202" s="34" t="s">
        <v>13</v>
      </c>
      <c r="D202" s="34" t="s">
        <v>5</v>
      </c>
      <c r="E202" s="13">
        <v>4969222</v>
      </c>
      <c r="F202" s="13">
        <v>5196268</v>
      </c>
      <c r="G202" s="13">
        <v>4950543</v>
      </c>
      <c r="H202" s="13">
        <v>5163818</v>
      </c>
      <c r="I202" s="13">
        <v>123114</v>
      </c>
      <c r="J202" s="35" t="str">
        <f>TRIM(data__2[[#This Row],[Month (old)]])</f>
        <v>Sep</v>
      </c>
      <c r="K202" s="35" t="str">
        <f>TRIM(data__2[[#This Row],[Symbol (old)]])</f>
        <v>BTCUSD</v>
      </c>
      <c r="L202" s="36" t="str">
        <f>LEFT(data__2[[#This Row],[Month (old2)]], 3)</f>
        <v>Sep</v>
      </c>
    </row>
    <row r="203" spans="2:12" x14ac:dyDescent="0.25">
      <c r="B203" s="33">
        <v>44443</v>
      </c>
      <c r="C203" s="34" t="s">
        <v>13</v>
      </c>
      <c r="D203" s="34" t="s">
        <v>5</v>
      </c>
      <c r="E203" s="13">
        <v>5029202</v>
      </c>
      <c r="F203" s="13">
        <v>5054541</v>
      </c>
      <c r="G203" s="13">
        <v>4941436</v>
      </c>
      <c r="H203" s="13">
        <v>4969222</v>
      </c>
      <c r="I203" s="13">
        <v>116715</v>
      </c>
      <c r="J203" s="35" t="str">
        <f>TRIM(data__2[[#This Row],[Month (old)]])</f>
        <v>Sep</v>
      </c>
      <c r="K203" s="35" t="str">
        <f>TRIM(data__2[[#This Row],[Symbol (old)]])</f>
        <v>BTCUSD</v>
      </c>
      <c r="L203" s="36" t="str">
        <f>LEFT(data__2[[#This Row],[Month (old2)]], 3)</f>
        <v>Sep</v>
      </c>
    </row>
    <row r="204" spans="2:12" x14ac:dyDescent="0.25">
      <c r="B204" s="33">
        <v>44442</v>
      </c>
      <c r="C204" s="34" t="s">
        <v>25</v>
      </c>
      <c r="D204" s="34" t="s">
        <v>18</v>
      </c>
      <c r="E204" s="13">
        <v>453242</v>
      </c>
      <c r="F204" s="13">
        <v>454145</v>
      </c>
      <c r="G204" s="13">
        <v>452130</v>
      </c>
      <c r="H204" s="13">
        <v>453543</v>
      </c>
      <c r="I204" s="13">
        <v>260966000000</v>
      </c>
      <c r="J204" s="35" t="str">
        <f>TRIM(data__2[[#This Row],[Month (old)]])</f>
        <v>September</v>
      </c>
      <c r="K204" s="35" t="str">
        <f>TRIM(data__2[[#This Row],[Symbol (old)]])</f>
        <v>SP500</v>
      </c>
      <c r="L204" s="36" t="str">
        <f>LEFT(data__2[[#This Row],[Month (old2)]], 3)</f>
        <v>Sep</v>
      </c>
    </row>
    <row r="205" spans="2:12" x14ac:dyDescent="0.25">
      <c r="B205" s="33">
        <v>44442</v>
      </c>
      <c r="C205" s="34" t="s">
        <v>13</v>
      </c>
      <c r="D205" s="34" t="s">
        <v>5</v>
      </c>
      <c r="E205" s="13">
        <v>4948500</v>
      </c>
      <c r="F205" s="13">
        <v>5104611</v>
      </c>
      <c r="G205" s="13">
        <v>4924134</v>
      </c>
      <c r="H205" s="13">
        <v>5029202</v>
      </c>
      <c r="I205" s="13">
        <v>111440</v>
      </c>
      <c r="J205" s="35" t="str">
        <f>TRIM(data__2[[#This Row],[Month (old)]])</f>
        <v>Sep</v>
      </c>
      <c r="K205" s="35" t="str">
        <f>TRIM(data__2[[#This Row],[Symbol (old)]])</f>
        <v>BTCUSD</v>
      </c>
      <c r="L205" s="36" t="str">
        <f>LEFT(data__2[[#This Row],[Month (old2)]], 3)</f>
        <v>Sep</v>
      </c>
    </row>
    <row r="206" spans="2:12" x14ac:dyDescent="0.25">
      <c r="B206" s="33">
        <v>44441</v>
      </c>
      <c r="C206" s="34" t="s">
        <v>25</v>
      </c>
      <c r="D206" s="34" t="s">
        <v>18</v>
      </c>
      <c r="E206" s="13">
        <v>453448</v>
      </c>
      <c r="F206" s="13">
        <v>454585</v>
      </c>
      <c r="G206" s="13">
        <v>452466</v>
      </c>
      <c r="H206" s="13">
        <v>453695</v>
      </c>
      <c r="I206" s="13">
        <v>289701000000</v>
      </c>
      <c r="J206" s="35" t="str">
        <f>TRIM(data__2[[#This Row],[Month (old)]])</f>
        <v>September</v>
      </c>
      <c r="K206" s="35" t="str">
        <f>TRIM(data__2[[#This Row],[Symbol (old)]])</f>
        <v>SP500</v>
      </c>
      <c r="L206" s="36" t="str">
        <f>LEFT(data__2[[#This Row],[Month (old2)]], 3)</f>
        <v>Sep</v>
      </c>
    </row>
    <row r="207" spans="2:12" x14ac:dyDescent="0.25">
      <c r="B207" s="33">
        <v>44441</v>
      </c>
      <c r="C207" s="34" t="s">
        <v>13</v>
      </c>
      <c r="D207" s="34" t="s">
        <v>5</v>
      </c>
      <c r="E207" s="13">
        <v>4959674</v>
      </c>
      <c r="F207" s="13">
        <v>5041200</v>
      </c>
      <c r="G207" s="13">
        <v>4835888</v>
      </c>
      <c r="H207" s="13">
        <v>4948500</v>
      </c>
      <c r="I207" s="13">
        <v>88544</v>
      </c>
      <c r="J207" s="35" t="str">
        <f>TRIM(data__2[[#This Row],[Month (old)]])</f>
        <v>Sep</v>
      </c>
      <c r="K207" s="35" t="str">
        <f>TRIM(data__2[[#This Row],[Symbol (old)]])</f>
        <v>BTCUSD</v>
      </c>
      <c r="L207" s="36" t="str">
        <f>LEFT(data__2[[#This Row],[Month (old2)]], 3)</f>
        <v>Sep</v>
      </c>
    </row>
    <row r="208" spans="2:12" x14ac:dyDescent="0.25">
      <c r="B208" s="33">
        <v>44440</v>
      </c>
      <c r="C208" s="34" t="s">
        <v>25</v>
      </c>
      <c r="D208" s="34" t="s">
        <v>18</v>
      </c>
      <c r="E208" s="13">
        <v>452880</v>
      </c>
      <c r="F208" s="13">
        <v>453711</v>
      </c>
      <c r="G208" s="13">
        <v>452202</v>
      </c>
      <c r="H208" s="13">
        <v>452409</v>
      </c>
      <c r="I208" s="13">
        <v>310183000000</v>
      </c>
      <c r="J208" s="35" t="str">
        <f>TRIM(data__2[[#This Row],[Month (old)]])</f>
        <v>September</v>
      </c>
      <c r="K208" s="35" t="str">
        <f>TRIM(data__2[[#This Row],[Symbol (old)]])</f>
        <v>SP500</v>
      </c>
      <c r="L208" s="36" t="str">
        <f>LEFT(data__2[[#This Row],[Month (old2)]], 3)</f>
        <v>Sep</v>
      </c>
    </row>
    <row r="209" spans="2:12" x14ac:dyDescent="0.25">
      <c r="B209" s="33">
        <v>44440</v>
      </c>
      <c r="C209" s="34" t="s">
        <v>13</v>
      </c>
      <c r="D209" s="34" t="s">
        <v>5</v>
      </c>
      <c r="E209" s="13">
        <v>4705284</v>
      </c>
      <c r="F209" s="13">
        <v>4993509</v>
      </c>
      <c r="G209" s="13">
        <v>4698044</v>
      </c>
      <c r="H209" s="13">
        <v>4959674</v>
      </c>
      <c r="I209" s="13">
        <v>110514</v>
      </c>
      <c r="J209" s="35" t="str">
        <f>TRIM(data__2[[#This Row],[Month (old)]])</f>
        <v>Sep</v>
      </c>
      <c r="K209" s="35" t="str">
        <f>TRIM(data__2[[#This Row],[Symbol (old)]])</f>
        <v>BTCUSD</v>
      </c>
      <c r="L209" s="36" t="str">
        <f>LEFT(data__2[[#This Row],[Month (old2)]], 3)</f>
        <v>Sep</v>
      </c>
    </row>
    <row r="210" spans="2:12" x14ac:dyDescent="0.25">
      <c r="B210" s="33">
        <v>44439</v>
      </c>
      <c r="C210" s="34" t="s">
        <v>24</v>
      </c>
      <c r="D210" s="34" t="s">
        <v>18</v>
      </c>
      <c r="E210" s="13">
        <v>452975</v>
      </c>
      <c r="F210" s="13">
        <v>453139</v>
      </c>
      <c r="G210" s="13">
        <v>451580</v>
      </c>
      <c r="H210" s="13">
        <v>452268</v>
      </c>
      <c r="I210" s="13">
        <v>309038000000</v>
      </c>
      <c r="J210" s="35" t="str">
        <f>TRIM(data__2[[#This Row],[Month (old)]])</f>
        <v>August</v>
      </c>
      <c r="K210" s="35" t="str">
        <f>TRIM(data__2[[#This Row],[Symbol (old)]])</f>
        <v>SP500</v>
      </c>
      <c r="L210" s="36" t="str">
        <f>LEFT(data__2[[#This Row],[Month (old2)]], 3)</f>
        <v>Aug</v>
      </c>
    </row>
    <row r="211" spans="2:12" x14ac:dyDescent="0.25">
      <c r="B211" s="33">
        <v>44439</v>
      </c>
      <c r="C211" s="34" t="s">
        <v>12</v>
      </c>
      <c r="D211" s="34" t="s">
        <v>5</v>
      </c>
      <c r="E211" s="13">
        <v>4715191</v>
      </c>
      <c r="F211" s="13">
        <v>4826159</v>
      </c>
      <c r="G211" s="13">
        <v>4652471</v>
      </c>
      <c r="H211" s="13">
        <v>4705284</v>
      </c>
      <c r="I211" s="13">
        <v>101919</v>
      </c>
      <c r="J211" s="35" t="str">
        <f>TRIM(data__2[[#This Row],[Month (old)]])</f>
        <v>Aug</v>
      </c>
      <c r="K211" s="35" t="str">
        <f>TRIM(data__2[[#This Row],[Symbol (old)]])</f>
        <v>BTCUSD</v>
      </c>
      <c r="L211" s="36" t="str">
        <f>LEFT(data__2[[#This Row],[Month (old2)]], 3)</f>
        <v>Aug</v>
      </c>
    </row>
    <row r="212" spans="2:12" x14ac:dyDescent="0.25">
      <c r="B212" s="33">
        <v>44438</v>
      </c>
      <c r="C212" s="34" t="s">
        <v>24</v>
      </c>
      <c r="D212" s="34" t="s">
        <v>18</v>
      </c>
      <c r="E212" s="13">
        <v>451376</v>
      </c>
      <c r="F212" s="13">
        <v>453736</v>
      </c>
      <c r="G212" s="13">
        <v>451376</v>
      </c>
      <c r="H212" s="13">
        <v>452879</v>
      </c>
      <c r="I212" s="13">
        <v>255730000000</v>
      </c>
      <c r="J212" s="35" t="str">
        <f>TRIM(data__2[[#This Row],[Month (old)]])</f>
        <v>August</v>
      </c>
      <c r="K212" s="35" t="str">
        <f>TRIM(data__2[[#This Row],[Symbol (old)]])</f>
        <v>SP500</v>
      </c>
      <c r="L212" s="36" t="str">
        <f>LEFT(data__2[[#This Row],[Month (old2)]], 3)</f>
        <v>Aug</v>
      </c>
    </row>
    <row r="213" spans="2:12" x14ac:dyDescent="0.25">
      <c r="B213" s="33">
        <v>44438</v>
      </c>
      <c r="C213" s="34" t="s">
        <v>12</v>
      </c>
      <c r="D213" s="34" t="s">
        <v>5</v>
      </c>
      <c r="E213" s="13">
        <v>4798958</v>
      </c>
      <c r="F213" s="13">
        <v>4873571</v>
      </c>
      <c r="G213" s="13">
        <v>4671724</v>
      </c>
      <c r="H213" s="13">
        <v>4715191</v>
      </c>
      <c r="I213" s="13">
        <v>93328</v>
      </c>
      <c r="J213" s="35" t="str">
        <f>TRIM(data__2[[#This Row],[Month (old)]])</f>
        <v>Aug</v>
      </c>
      <c r="K213" s="35" t="str">
        <f>TRIM(data__2[[#This Row],[Symbol (old)]])</f>
        <v>BTCUSD</v>
      </c>
      <c r="L213" s="36" t="str">
        <f>LEFT(data__2[[#This Row],[Month (old2)]], 3)</f>
        <v>Aug</v>
      </c>
    </row>
    <row r="214" spans="2:12" x14ac:dyDescent="0.25">
      <c r="B214" s="33">
        <v>44437</v>
      </c>
      <c r="C214" s="34" t="s">
        <v>12</v>
      </c>
      <c r="D214" s="34" t="s">
        <v>5</v>
      </c>
      <c r="E214" s="13">
        <v>4826719</v>
      </c>
      <c r="F214" s="13">
        <v>4940807</v>
      </c>
      <c r="G214" s="13">
        <v>4780000</v>
      </c>
      <c r="H214" s="13">
        <v>4798958</v>
      </c>
      <c r="I214" s="13">
        <v>44677</v>
      </c>
      <c r="J214" s="35" t="str">
        <f>TRIM(data__2[[#This Row],[Month (old)]])</f>
        <v>Aug</v>
      </c>
      <c r="K214" s="35" t="str">
        <f>TRIM(data__2[[#This Row],[Symbol (old)]])</f>
        <v>BTCUSD</v>
      </c>
      <c r="L214" s="36" t="str">
        <f>LEFT(data__2[[#This Row],[Month (old2)]], 3)</f>
        <v>Aug</v>
      </c>
    </row>
    <row r="215" spans="2:12" x14ac:dyDescent="0.25">
      <c r="B215" s="33">
        <v>44436</v>
      </c>
      <c r="C215" s="34" t="s">
        <v>12</v>
      </c>
      <c r="D215" s="34" t="s">
        <v>5</v>
      </c>
      <c r="E215" s="13">
        <v>4890001</v>
      </c>
      <c r="F215" s="13">
        <v>4965000</v>
      </c>
      <c r="G215" s="13">
        <v>4810799</v>
      </c>
      <c r="H215" s="13">
        <v>4826719</v>
      </c>
      <c r="I215" s="13">
        <v>54426</v>
      </c>
      <c r="J215" s="35" t="str">
        <f>TRIM(data__2[[#This Row],[Month (old)]])</f>
        <v>Aug</v>
      </c>
      <c r="K215" s="35" t="str">
        <f>TRIM(data__2[[#This Row],[Symbol (old)]])</f>
        <v>BTCUSD</v>
      </c>
      <c r="L215" s="36" t="str">
        <f>LEFT(data__2[[#This Row],[Month (old2)]], 3)</f>
        <v>Aug</v>
      </c>
    </row>
    <row r="216" spans="2:12" x14ac:dyDescent="0.25">
      <c r="B216" s="33">
        <v>44435</v>
      </c>
      <c r="C216" s="34" t="s">
        <v>24</v>
      </c>
      <c r="D216" s="34" t="s">
        <v>18</v>
      </c>
      <c r="E216" s="13">
        <v>447410</v>
      </c>
      <c r="F216" s="13">
        <v>451333</v>
      </c>
      <c r="G216" s="13">
        <v>447410</v>
      </c>
      <c r="H216" s="13">
        <v>450937</v>
      </c>
      <c r="I216" s="13">
        <v>286236000000</v>
      </c>
      <c r="J216" s="35" t="str">
        <f>TRIM(data__2[[#This Row],[Month (old)]])</f>
        <v>August</v>
      </c>
      <c r="K216" s="35" t="str">
        <f>TRIM(data__2[[#This Row],[Symbol (old)]])</f>
        <v>SP500</v>
      </c>
      <c r="L216" s="36" t="str">
        <f>LEFT(data__2[[#This Row],[Month (old2)]], 3)</f>
        <v>Aug</v>
      </c>
    </row>
    <row r="217" spans="2:12" x14ac:dyDescent="0.25">
      <c r="B217" s="33">
        <v>44435</v>
      </c>
      <c r="C217" s="34" t="s">
        <v>12</v>
      </c>
      <c r="D217" s="34" t="s">
        <v>5</v>
      </c>
      <c r="E217" s="13">
        <v>4684594</v>
      </c>
      <c r="F217" s="13">
        <v>4931326</v>
      </c>
      <c r="G217" s="13">
        <v>4660336</v>
      </c>
      <c r="H217" s="13">
        <v>4890001</v>
      </c>
      <c r="I217" s="13">
        <v>138321</v>
      </c>
      <c r="J217" s="35" t="str">
        <f>TRIM(data__2[[#This Row],[Month (old)]])</f>
        <v>Aug</v>
      </c>
      <c r="K217" s="35" t="str">
        <f>TRIM(data__2[[#This Row],[Symbol (old)]])</f>
        <v>BTCUSD</v>
      </c>
      <c r="L217" s="36" t="str">
        <f>LEFT(data__2[[#This Row],[Month (old2)]], 3)</f>
        <v>Aug</v>
      </c>
    </row>
    <row r="218" spans="2:12" x14ac:dyDescent="0.25">
      <c r="B218" s="33">
        <v>44434</v>
      </c>
      <c r="C218" s="34" t="s">
        <v>24</v>
      </c>
      <c r="D218" s="34" t="s">
        <v>18</v>
      </c>
      <c r="E218" s="13">
        <v>449375</v>
      </c>
      <c r="F218" s="13">
        <v>449590</v>
      </c>
      <c r="G218" s="13">
        <v>446899</v>
      </c>
      <c r="H218" s="13">
        <v>447000</v>
      </c>
      <c r="I218" s="13">
        <v>270460000000</v>
      </c>
      <c r="J218" s="35" t="str">
        <f>TRIM(data__2[[#This Row],[Month (old)]])</f>
        <v>August</v>
      </c>
      <c r="K218" s="35" t="str">
        <f>TRIM(data__2[[#This Row],[Symbol (old)]])</f>
        <v>SP500</v>
      </c>
      <c r="L218" s="36" t="str">
        <f>LEFT(data__2[[#This Row],[Month (old2)]], 3)</f>
        <v>Aug</v>
      </c>
    </row>
    <row r="219" spans="2:12" x14ac:dyDescent="0.25">
      <c r="B219" s="33">
        <v>44434</v>
      </c>
      <c r="C219" s="34" t="s">
        <v>12</v>
      </c>
      <c r="D219" s="34" t="s">
        <v>5</v>
      </c>
      <c r="E219" s="13">
        <v>4793100</v>
      </c>
      <c r="F219" s="13">
        <v>4805314</v>
      </c>
      <c r="G219" s="13">
        <v>4628763</v>
      </c>
      <c r="H219" s="13">
        <v>4684594</v>
      </c>
      <c r="I219" s="13">
        <v>220500</v>
      </c>
      <c r="J219" s="35" t="str">
        <f>TRIM(data__2[[#This Row],[Month (old)]])</f>
        <v>Aug</v>
      </c>
      <c r="K219" s="35" t="str">
        <f>TRIM(data__2[[#This Row],[Symbol (old)]])</f>
        <v>BTCUSD</v>
      </c>
      <c r="L219" s="36" t="str">
        <f>LEFT(data__2[[#This Row],[Month (old2)]], 3)</f>
        <v>Aug</v>
      </c>
    </row>
    <row r="220" spans="2:12" x14ac:dyDescent="0.25">
      <c r="B220" s="33">
        <v>44433</v>
      </c>
      <c r="C220" s="34" t="s">
        <v>24</v>
      </c>
      <c r="D220" s="34" t="s">
        <v>18</v>
      </c>
      <c r="E220" s="13">
        <v>449045</v>
      </c>
      <c r="F220" s="13">
        <v>450171</v>
      </c>
      <c r="G220" s="13">
        <v>448566</v>
      </c>
      <c r="H220" s="13">
        <v>449619</v>
      </c>
      <c r="I220" s="13">
        <v>255468000000</v>
      </c>
      <c r="J220" s="35" t="str">
        <f>TRIM(data__2[[#This Row],[Month (old)]])</f>
        <v>August</v>
      </c>
      <c r="K220" s="35" t="str">
        <f>TRIM(data__2[[#This Row],[Symbol (old)]])</f>
        <v>SP500</v>
      </c>
      <c r="L220" s="36" t="str">
        <f>LEFT(data__2[[#This Row],[Month (old2)]], 3)</f>
        <v>Aug</v>
      </c>
    </row>
    <row r="221" spans="2:12" x14ac:dyDescent="0.25">
      <c r="B221" s="33">
        <v>44433</v>
      </c>
      <c r="C221" s="34" t="s">
        <v>12</v>
      </c>
      <c r="D221" s="34" t="s">
        <v>5</v>
      </c>
      <c r="E221" s="13">
        <v>4799578</v>
      </c>
      <c r="F221" s="13">
        <v>4936542</v>
      </c>
      <c r="G221" s="13">
        <v>4711212</v>
      </c>
      <c r="H221" s="13">
        <v>4793100</v>
      </c>
      <c r="I221" s="13">
        <v>166641</v>
      </c>
      <c r="J221" s="35" t="str">
        <f>TRIM(data__2[[#This Row],[Month (old)]])</f>
        <v>Aug</v>
      </c>
      <c r="K221" s="35" t="str">
        <f>TRIM(data__2[[#This Row],[Symbol (old)]])</f>
        <v>BTCUSD</v>
      </c>
      <c r="L221" s="36" t="str">
        <f>LEFT(data__2[[#This Row],[Month (old2)]], 3)</f>
        <v>Aug</v>
      </c>
    </row>
    <row r="222" spans="2:12" x14ac:dyDescent="0.25">
      <c r="B222" s="33">
        <v>44432</v>
      </c>
      <c r="C222" s="34" t="s">
        <v>24</v>
      </c>
      <c r="D222" s="34" t="s">
        <v>18</v>
      </c>
      <c r="E222" s="13">
        <v>448440</v>
      </c>
      <c r="F222" s="13">
        <v>449281</v>
      </c>
      <c r="G222" s="13">
        <v>448228</v>
      </c>
      <c r="H222" s="13">
        <v>448623</v>
      </c>
      <c r="I222" s="13">
        <v>303777000000</v>
      </c>
      <c r="J222" s="35" t="str">
        <f>TRIM(data__2[[#This Row],[Month (old)]])</f>
        <v>August</v>
      </c>
      <c r="K222" s="35" t="str">
        <f>TRIM(data__2[[#This Row],[Symbol (old)]])</f>
        <v>SP500</v>
      </c>
      <c r="L222" s="36" t="str">
        <f>LEFT(data__2[[#This Row],[Month (old2)]], 3)</f>
        <v>Aug</v>
      </c>
    </row>
    <row r="223" spans="2:12" x14ac:dyDescent="0.25">
      <c r="B223" s="33">
        <v>44432</v>
      </c>
      <c r="C223" s="34" t="s">
        <v>12</v>
      </c>
      <c r="D223" s="34" t="s">
        <v>5</v>
      </c>
      <c r="E223" s="13">
        <v>4935000</v>
      </c>
      <c r="F223" s="13">
        <v>4986771</v>
      </c>
      <c r="G223" s="13">
        <v>4761430</v>
      </c>
      <c r="H223" s="13">
        <v>4799578</v>
      </c>
      <c r="I223" s="13">
        <v>136987</v>
      </c>
      <c r="J223" s="35" t="str">
        <f>TRIM(data__2[[#This Row],[Month (old)]])</f>
        <v>Aug</v>
      </c>
      <c r="K223" s="35" t="str">
        <f>TRIM(data__2[[#This Row],[Symbol (old)]])</f>
        <v>BTCUSD</v>
      </c>
      <c r="L223" s="36" t="str">
        <f>LEFT(data__2[[#This Row],[Month (old2)]], 3)</f>
        <v>Aug</v>
      </c>
    </row>
    <row r="224" spans="2:12" x14ac:dyDescent="0.25">
      <c r="B224" s="33">
        <v>44431</v>
      </c>
      <c r="C224" s="34" t="s">
        <v>24</v>
      </c>
      <c r="D224" s="34" t="s">
        <v>18</v>
      </c>
      <c r="E224" s="13">
        <v>445029</v>
      </c>
      <c r="F224" s="13">
        <v>448988</v>
      </c>
      <c r="G224" s="13">
        <v>445029</v>
      </c>
      <c r="H224" s="13">
        <v>447953</v>
      </c>
      <c r="I224" s="13">
        <v>296552000000</v>
      </c>
      <c r="J224" s="35" t="str">
        <f>TRIM(data__2[[#This Row],[Month (old)]])</f>
        <v>August</v>
      </c>
      <c r="K224" s="35" t="str">
        <f>TRIM(data__2[[#This Row],[Symbol (old)]])</f>
        <v>SP500</v>
      </c>
      <c r="L224" s="36" t="str">
        <f>LEFT(data__2[[#This Row],[Month (old2)]], 3)</f>
        <v>Aug</v>
      </c>
    </row>
    <row r="225" spans="2:12" x14ac:dyDescent="0.25">
      <c r="B225" s="33">
        <v>44431</v>
      </c>
      <c r="C225" s="34" t="s">
        <v>12</v>
      </c>
      <c r="D225" s="34" t="s">
        <v>5</v>
      </c>
      <c r="E225" s="13">
        <v>5028905</v>
      </c>
      <c r="F225" s="13">
        <v>5051799</v>
      </c>
      <c r="G225" s="13">
        <v>4880000</v>
      </c>
      <c r="H225" s="13">
        <v>4935000</v>
      </c>
      <c r="I225" s="13">
        <v>105166</v>
      </c>
      <c r="J225" s="35" t="str">
        <f>TRIM(data__2[[#This Row],[Month (old)]])</f>
        <v>Aug</v>
      </c>
      <c r="K225" s="35" t="str">
        <f>TRIM(data__2[[#This Row],[Symbol (old)]])</f>
        <v>BTCUSD</v>
      </c>
      <c r="L225" s="36" t="str">
        <f>LEFT(data__2[[#This Row],[Month (old2)]], 3)</f>
        <v>Aug</v>
      </c>
    </row>
    <row r="226" spans="2:12" x14ac:dyDescent="0.25">
      <c r="B226" s="33">
        <v>44430</v>
      </c>
      <c r="C226" s="34" t="s">
        <v>12</v>
      </c>
      <c r="D226" s="34" t="s">
        <v>5</v>
      </c>
      <c r="E226" s="13">
        <v>4883762</v>
      </c>
      <c r="F226" s="13">
        <v>5054019</v>
      </c>
      <c r="G226" s="13">
        <v>4807103</v>
      </c>
      <c r="H226" s="13">
        <v>5028905</v>
      </c>
      <c r="I226" s="13">
        <v>97481</v>
      </c>
      <c r="J226" s="35" t="str">
        <f>TRIM(data__2[[#This Row],[Month (old)]])</f>
        <v>Aug</v>
      </c>
      <c r="K226" s="35" t="str">
        <f>TRIM(data__2[[#This Row],[Symbol (old)]])</f>
        <v>BTCUSD</v>
      </c>
      <c r="L226" s="36" t="str">
        <f>LEFT(data__2[[#This Row],[Month (old2)]], 3)</f>
        <v>Aug</v>
      </c>
    </row>
    <row r="227" spans="2:12" x14ac:dyDescent="0.25">
      <c r="B227" s="33">
        <v>44429</v>
      </c>
      <c r="C227" s="34" t="s">
        <v>12</v>
      </c>
      <c r="D227" s="34" t="s">
        <v>5</v>
      </c>
      <c r="E227" s="13">
        <v>4883962</v>
      </c>
      <c r="F227" s="13">
        <v>4981254</v>
      </c>
      <c r="G227" s="13">
        <v>4828142</v>
      </c>
      <c r="H227" s="13">
        <v>4883762</v>
      </c>
      <c r="I227" s="13">
        <v>121311</v>
      </c>
      <c r="J227" s="35" t="str">
        <f>TRIM(data__2[[#This Row],[Month (old)]])</f>
        <v>Aug</v>
      </c>
      <c r="K227" s="35" t="str">
        <f>TRIM(data__2[[#This Row],[Symbol (old)]])</f>
        <v>BTCUSD</v>
      </c>
      <c r="L227" s="36" t="str">
        <f>LEFT(data__2[[#This Row],[Month (old2)]], 3)</f>
        <v>Aug</v>
      </c>
    </row>
    <row r="228" spans="2:12" x14ac:dyDescent="0.25">
      <c r="B228" s="33">
        <v>44428</v>
      </c>
      <c r="C228" s="34" t="s">
        <v>24</v>
      </c>
      <c r="D228" s="34" t="s">
        <v>18</v>
      </c>
      <c r="E228" s="13">
        <v>441056</v>
      </c>
      <c r="F228" s="13">
        <v>444435</v>
      </c>
      <c r="G228" s="13">
        <v>440680</v>
      </c>
      <c r="H228" s="13">
        <v>444167</v>
      </c>
      <c r="I228" s="13">
        <v>286777000000</v>
      </c>
      <c r="J228" s="35" t="str">
        <f>TRIM(data__2[[#This Row],[Month (old)]])</f>
        <v>August</v>
      </c>
      <c r="K228" s="35" t="str">
        <f>TRIM(data__2[[#This Row],[Symbol (old)]])</f>
        <v>SP500</v>
      </c>
      <c r="L228" s="36" t="str">
        <f>LEFT(data__2[[#This Row],[Month (old2)]], 3)</f>
        <v>Aug</v>
      </c>
    </row>
    <row r="229" spans="2:12" x14ac:dyDescent="0.25">
      <c r="B229" s="33">
        <v>44428</v>
      </c>
      <c r="C229" s="34" t="s">
        <v>12</v>
      </c>
      <c r="D229" s="34" t="s">
        <v>5</v>
      </c>
      <c r="E229" s="13">
        <v>4704228</v>
      </c>
      <c r="F229" s="13">
        <v>4940000</v>
      </c>
      <c r="G229" s="13">
        <v>4671457</v>
      </c>
      <c r="H229" s="13">
        <v>4883962</v>
      </c>
      <c r="I229" s="13">
        <v>132832</v>
      </c>
      <c r="J229" s="35" t="str">
        <f>TRIM(data__2[[#This Row],[Month (old)]])</f>
        <v>Aug</v>
      </c>
      <c r="K229" s="35" t="str">
        <f>TRIM(data__2[[#This Row],[Symbol (old)]])</f>
        <v>BTCUSD</v>
      </c>
      <c r="L229" s="36" t="str">
        <f>LEFT(data__2[[#This Row],[Month (old2)]], 3)</f>
        <v>Aug</v>
      </c>
    </row>
    <row r="230" spans="2:12" x14ac:dyDescent="0.25">
      <c r="B230" s="33">
        <v>44427</v>
      </c>
      <c r="C230" s="34" t="s">
        <v>24</v>
      </c>
      <c r="D230" s="34" t="s">
        <v>18</v>
      </c>
      <c r="E230" s="13">
        <v>438244</v>
      </c>
      <c r="F230" s="13">
        <v>441861</v>
      </c>
      <c r="G230" s="13">
        <v>436773</v>
      </c>
      <c r="H230" s="13">
        <v>440580</v>
      </c>
      <c r="I230" s="13">
        <v>312084000000</v>
      </c>
      <c r="J230" s="35" t="str">
        <f>TRIM(data__2[[#This Row],[Month (old)]])</f>
        <v>August</v>
      </c>
      <c r="K230" s="35" t="str">
        <f>TRIM(data__2[[#This Row],[Symbol (old)]])</f>
        <v>SP500</v>
      </c>
      <c r="L230" s="36" t="str">
        <f>LEFT(data__2[[#This Row],[Month (old2)]], 3)</f>
        <v>Aug</v>
      </c>
    </row>
    <row r="231" spans="2:12" x14ac:dyDescent="0.25">
      <c r="B231" s="33">
        <v>44427</v>
      </c>
      <c r="C231" s="34" t="s">
        <v>12</v>
      </c>
      <c r="D231" s="34" t="s">
        <v>5</v>
      </c>
      <c r="E231" s="13">
        <v>4407477</v>
      </c>
      <c r="F231" s="13">
        <v>4742413</v>
      </c>
      <c r="G231" s="13">
        <v>4390253</v>
      </c>
      <c r="H231" s="13">
        <v>4704228</v>
      </c>
      <c r="I231" s="13">
        <v>156600</v>
      </c>
      <c r="J231" s="35" t="str">
        <f>TRIM(data__2[[#This Row],[Month (old)]])</f>
        <v>Aug</v>
      </c>
      <c r="K231" s="35" t="str">
        <f>TRIM(data__2[[#This Row],[Symbol (old)]])</f>
        <v>BTCUSD</v>
      </c>
      <c r="L231" s="36" t="str">
        <f>LEFT(data__2[[#This Row],[Month (old2)]], 3)</f>
        <v>Aug</v>
      </c>
    </row>
    <row r="232" spans="2:12" x14ac:dyDescent="0.25">
      <c r="B232" s="33">
        <v>44426</v>
      </c>
      <c r="C232" s="34" t="s">
        <v>24</v>
      </c>
      <c r="D232" s="34" t="s">
        <v>18</v>
      </c>
      <c r="E232" s="13">
        <v>444094</v>
      </c>
      <c r="F232" s="13">
        <v>445432</v>
      </c>
      <c r="G232" s="13">
        <v>439759</v>
      </c>
      <c r="H232" s="13">
        <v>440027</v>
      </c>
      <c r="I232" s="13">
        <v>296521000000</v>
      </c>
      <c r="J232" s="35" t="str">
        <f>TRIM(data__2[[#This Row],[Month (old)]])</f>
        <v>August</v>
      </c>
      <c r="K232" s="35" t="str">
        <f>TRIM(data__2[[#This Row],[Symbol (old)]])</f>
        <v>SP500</v>
      </c>
      <c r="L232" s="36" t="str">
        <f>LEFT(data__2[[#This Row],[Month (old2)]], 3)</f>
        <v>Aug</v>
      </c>
    </row>
    <row r="233" spans="2:12" x14ac:dyDescent="0.25">
      <c r="B233" s="33">
        <v>44426</v>
      </c>
      <c r="C233" s="34" t="s">
        <v>12</v>
      </c>
      <c r="D233" s="34" t="s">
        <v>5</v>
      </c>
      <c r="E233" s="13">
        <v>4507879</v>
      </c>
      <c r="F233" s="13">
        <v>4603100</v>
      </c>
      <c r="G233" s="13">
        <v>4405500</v>
      </c>
      <c r="H233" s="13">
        <v>4407477</v>
      </c>
      <c r="I233" s="13">
        <v>132473</v>
      </c>
      <c r="J233" s="35" t="str">
        <f>TRIM(data__2[[#This Row],[Month (old)]])</f>
        <v>Aug</v>
      </c>
      <c r="K233" s="35" t="str">
        <f>TRIM(data__2[[#This Row],[Symbol (old)]])</f>
        <v>BTCUSD</v>
      </c>
      <c r="L233" s="36" t="str">
        <f>LEFT(data__2[[#This Row],[Month (old2)]], 3)</f>
        <v>Aug</v>
      </c>
    </row>
    <row r="234" spans="2:12" x14ac:dyDescent="0.25">
      <c r="B234" s="33">
        <v>44425</v>
      </c>
      <c r="C234" s="34" t="s">
        <v>24</v>
      </c>
      <c r="D234" s="34" t="s">
        <v>18</v>
      </c>
      <c r="E234" s="13">
        <v>446212</v>
      </c>
      <c r="F234" s="13">
        <v>446212</v>
      </c>
      <c r="G234" s="13">
        <v>441783</v>
      </c>
      <c r="H234" s="13">
        <v>444808</v>
      </c>
      <c r="I234" s="13">
        <v>288400000000</v>
      </c>
      <c r="J234" s="35" t="str">
        <f>TRIM(data__2[[#This Row],[Month (old)]])</f>
        <v>August</v>
      </c>
      <c r="K234" s="35" t="str">
        <f>TRIM(data__2[[#This Row],[Symbol (old)]])</f>
        <v>SP500</v>
      </c>
      <c r="L234" s="36" t="str">
        <f>LEFT(data__2[[#This Row],[Month (old2)]], 3)</f>
        <v>Aug</v>
      </c>
    </row>
    <row r="235" spans="2:12" x14ac:dyDescent="0.25">
      <c r="B235" s="33">
        <v>44425</v>
      </c>
      <c r="C235" s="34" t="s">
        <v>12</v>
      </c>
      <c r="D235" s="34" t="s">
        <v>5</v>
      </c>
      <c r="E235" s="13">
        <v>4643544</v>
      </c>
      <c r="F235" s="13">
        <v>4716294</v>
      </c>
      <c r="G235" s="13">
        <v>4421113</v>
      </c>
      <c r="H235" s="13">
        <v>4507879</v>
      </c>
      <c r="I235" s="13">
        <v>214938</v>
      </c>
      <c r="J235" s="35" t="str">
        <f>TRIM(data__2[[#This Row],[Month (old)]])</f>
        <v>Aug</v>
      </c>
      <c r="K235" s="35" t="str">
        <f>TRIM(data__2[[#This Row],[Symbol (old)]])</f>
        <v>BTCUSD</v>
      </c>
      <c r="L235" s="36" t="str">
        <f>LEFT(data__2[[#This Row],[Month (old2)]], 3)</f>
        <v>Aug</v>
      </c>
    </row>
    <row r="236" spans="2:12" x14ac:dyDescent="0.25">
      <c r="B236" s="33">
        <v>44424</v>
      </c>
      <c r="C236" s="34" t="s">
        <v>24</v>
      </c>
      <c r="D236" s="34" t="s">
        <v>18</v>
      </c>
      <c r="E236" s="13">
        <v>446165</v>
      </c>
      <c r="F236" s="13">
        <v>448026</v>
      </c>
      <c r="G236" s="13">
        <v>443766</v>
      </c>
      <c r="H236" s="13">
        <v>447971</v>
      </c>
      <c r="I236" s="13">
        <v>270717000000</v>
      </c>
      <c r="J236" s="35" t="str">
        <f>TRIM(data__2[[#This Row],[Month (old)]])</f>
        <v>August</v>
      </c>
      <c r="K236" s="35" t="str">
        <f>TRIM(data__2[[#This Row],[Symbol (old)]])</f>
        <v>SP500</v>
      </c>
      <c r="L236" s="36" t="str">
        <f>LEFT(data__2[[#This Row],[Month (old2)]], 3)</f>
        <v>Aug</v>
      </c>
    </row>
    <row r="237" spans="2:12" x14ac:dyDescent="0.25">
      <c r="B237" s="33">
        <v>44424</v>
      </c>
      <c r="C237" s="34" t="s">
        <v>12</v>
      </c>
      <c r="D237" s="34" t="s">
        <v>5</v>
      </c>
      <c r="E237" s="13">
        <v>4740089</v>
      </c>
      <c r="F237" s="13">
        <v>4774450</v>
      </c>
      <c r="G237" s="13">
        <v>4525051</v>
      </c>
      <c r="H237" s="13">
        <v>4643544</v>
      </c>
      <c r="I237" s="13">
        <v>168708</v>
      </c>
      <c r="J237" s="35" t="str">
        <f>TRIM(data__2[[#This Row],[Month (old)]])</f>
        <v>Aug</v>
      </c>
      <c r="K237" s="35" t="str">
        <f>TRIM(data__2[[#This Row],[Symbol (old)]])</f>
        <v>BTCUSD</v>
      </c>
      <c r="L237" s="36" t="str">
        <f>LEFT(data__2[[#This Row],[Month (old2)]], 3)</f>
        <v>Aug</v>
      </c>
    </row>
    <row r="238" spans="2:12" x14ac:dyDescent="0.25">
      <c r="B238" s="33">
        <v>44423</v>
      </c>
      <c r="C238" s="34" t="s">
        <v>12</v>
      </c>
      <c r="D238" s="34" t="s">
        <v>5</v>
      </c>
      <c r="E238" s="13">
        <v>4691099</v>
      </c>
      <c r="F238" s="13">
        <v>4804425</v>
      </c>
      <c r="G238" s="13">
        <v>4550951</v>
      </c>
      <c r="H238" s="13">
        <v>4740089</v>
      </c>
      <c r="I238" s="13">
        <v>136076</v>
      </c>
      <c r="J238" s="35" t="str">
        <f>TRIM(data__2[[#This Row],[Month (old)]])</f>
        <v>Aug</v>
      </c>
      <c r="K238" s="35" t="str">
        <f>TRIM(data__2[[#This Row],[Symbol (old)]])</f>
        <v>BTCUSD</v>
      </c>
      <c r="L238" s="36" t="str">
        <f>LEFT(data__2[[#This Row],[Month (old2)]], 3)</f>
        <v>Aug</v>
      </c>
    </row>
    <row r="239" spans="2:12" x14ac:dyDescent="0.25">
      <c r="B239" s="33">
        <v>44422</v>
      </c>
      <c r="C239" s="34" t="s">
        <v>12</v>
      </c>
      <c r="D239" s="34" t="s">
        <v>5</v>
      </c>
      <c r="E239" s="13">
        <v>4757164</v>
      </c>
      <c r="F239" s="13">
        <v>4818151</v>
      </c>
      <c r="G239" s="13">
        <v>4604586</v>
      </c>
      <c r="H239" s="13">
        <v>4691099</v>
      </c>
      <c r="I239" s="13">
        <v>111209</v>
      </c>
      <c r="J239" s="35" t="str">
        <f>TRIM(data__2[[#This Row],[Month (old)]])</f>
        <v>Aug</v>
      </c>
      <c r="K239" s="35" t="str">
        <f>TRIM(data__2[[#This Row],[Symbol (old)]])</f>
        <v>BTCUSD</v>
      </c>
      <c r="L239" s="36" t="str">
        <f>LEFT(data__2[[#This Row],[Month (old2)]], 3)</f>
        <v>Aug</v>
      </c>
    </row>
    <row r="240" spans="2:12" x14ac:dyDescent="0.25">
      <c r="B240" s="33">
        <v>44421</v>
      </c>
      <c r="C240" s="34" t="s">
        <v>24</v>
      </c>
      <c r="D240" s="34" t="s">
        <v>18</v>
      </c>
      <c r="E240" s="13">
        <v>446484</v>
      </c>
      <c r="F240" s="13">
        <v>446837</v>
      </c>
      <c r="G240" s="13">
        <v>446082</v>
      </c>
      <c r="H240" s="13">
        <v>446800</v>
      </c>
      <c r="I240" s="13">
        <v>237163000000</v>
      </c>
      <c r="J240" s="35" t="str">
        <f>TRIM(data__2[[#This Row],[Month (old)]])</f>
        <v>August</v>
      </c>
      <c r="K240" s="35" t="str">
        <f>TRIM(data__2[[#This Row],[Symbol (old)]])</f>
        <v>SP500</v>
      </c>
      <c r="L240" s="36" t="str">
        <f>LEFT(data__2[[#This Row],[Month (old2)]], 3)</f>
        <v>Aug</v>
      </c>
    </row>
    <row r="241" spans="2:12" x14ac:dyDescent="0.25">
      <c r="B241" s="33">
        <v>44421</v>
      </c>
      <c r="C241" s="34" t="s">
        <v>12</v>
      </c>
      <c r="D241" s="34" t="s">
        <v>5</v>
      </c>
      <c r="E241" s="13">
        <v>4520546</v>
      </c>
      <c r="F241" s="13">
        <v>4790000</v>
      </c>
      <c r="G241" s="13">
        <v>4495259</v>
      </c>
      <c r="H241" s="13">
        <v>4757164</v>
      </c>
      <c r="I241" s="13">
        <v>160957</v>
      </c>
      <c r="J241" s="35" t="str">
        <f>TRIM(data__2[[#This Row],[Month (old)]])</f>
        <v>Aug</v>
      </c>
      <c r="K241" s="35" t="str">
        <f>TRIM(data__2[[#This Row],[Symbol (old)]])</f>
        <v>BTCUSD</v>
      </c>
      <c r="L241" s="36" t="str">
        <f>LEFT(data__2[[#This Row],[Month (old2)]], 3)</f>
        <v>Aug</v>
      </c>
    </row>
    <row r="242" spans="2:12" x14ac:dyDescent="0.25">
      <c r="B242" s="33">
        <v>44420</v>
      </c>
      <c r="C242" s="34" t="s">
        <v>24</v>
      </c>
      <c r="D242" s="34" t="s">
        <v>18</v>
      </c>
      <c r="E242" s="13">
        <v>444608</v>
      </c>
      <c r="F242" s="13">
        <v>446177</v>
      </c>
      <c r="G242" s="13">
        <v>443596</v>
      </c>
      <c r="H242" s="13">
        <v>446083</v>
      </c>
      <c r="I242" s="13">
        <v>254386000000</v>
      </c>
      <c r="J242" s="35" t="str">
        <f>TRIM(data__2[[#This Row],[Month (old)]])</f>
        <v>August</v>
      </c>
      <c r="K242" s="35" t="str">
        <f>TRIM(data__2[[#This Row],[Symbol (old)]])</f>
        <v>SP500</v>
      </c>
      <c r="L242" s="36" t="str">
        <f>LEFT(data__2[[#This Row],[Month (old2)]], 3)</f>
        <v>Aug</v>
      </c>
    </row>
    <row r="243" spans="2:12" x14ac:dyDescent="0.25">
      <c r="B243" s="33">
        <v>44420</v>
      </c>
      <c r="C243" s="34" t="s">
        <v>12</v>
      </c>
      <c r="D243" s="34" t="s">
        <v>5</v>
      </c>
      <c r="E243" s="13">
        <v>4594806</v>
      </c>
      <c r="F243" s="13">
        <v>4602308</v>
      </c>
      <c r="G243" s="13">
        <v>4380000</v>
      </c>
      <c r="H243" s="13">
        <v>4520546</v>
      </c>
      <c r="I243" s="13">
        <v>184077</v>
      </c>
      <c r="J243" s="35" t="str">
        <f>TRIM(data__2[[#This Row],[Month (old)]])</f>
        <v>Aug</v>
      </c>
      <c r="K243" s="35" t="str">
        <f>TRIM(data__2[[#This Row],[Symbol (old)]])</f>
        <v>BTCUSD</v>
      </c>
      <c r="L243" s="36" t="str">
        <f>LEFT(data__2[[#This Row],[Month (old2)]], 3)</f>
        <v>Aug</v>
      </c>
    </row>
    <row r="244" spans="2:12" x14ac:dyDescent="0.25">
      <c r="B244" s="33">
        <v>44419</v>
      </c>
      <c r="C244" s="34" t="s">
        <v>24</v>
      </c>
      <c r="D244" s="34" t="s">
        <v>18</v>
      </c>
      <c r="E244" s="13">
        <v>444218</v>
      </c>
      <c r="F244" s="13">
        <v>444944</v>
      </c>
      <c r="G244" s="13">
        <v>443642</v>
      </c>
      <c r="H244" s="13">
        <v>444241</v>
      </c>
      <c r="I244" s="13">
        <v>280306000000</v>
      </c>
      <c r="J244" s="35" t="str">
        <f>TRIM(data__2[[#This Row],[Month (old)]])</f>
        <v>August</v>
      </c>
      <c r="K244" s="35" t="str">
        <f>TRIM(data__2[[#This Row],[Symbol (old)]])</f>
        <v>SP500</v>
      </c>
      <c r="L244" s="36" t="str">
        <f>LEFT(data__2[[#This Row],[Month (old2)]], 3)</f>
        <v>Aug</v>
      </c>
    </row>
    <row r="245" spans="2:12" x14ac:dyDescent="0.25">
      <c r="B245" s="33">
        <v>44419</v>
      </c>
      <c r="C245" s="34" t="s">
        <v>12</v>
      </c>
      <c r="D245" s="34" t="s">
        <v>5</v>
      </c>
      <c r="E245" s="13">
        <v>4559416</v>
      </c>
      <c r="F245" s="13">
        <v>4677500</v>
      </c>
      <c r="G245" s="13">
        <v>4542658</v>
      </c>
      <c r="H245" s="13">
        <v>4594806</v>
      </c>
      <c r="I245" s="13">
        <v>156584</v>
      </c>
      <c r="J245" s="35" t="str">
        <f>TRIM(data__2[[#This Row],[Month (old)]])</f>
        <v>Aug</v>
      </c>
      <c r="K245" s="35" t="str">
        <f>TRIM(data__2[[#This Row],[Symbol (old)]])</f>
        <v>BTCUSD</v>
      </c>
      <c r="L245" s="36" t="str">
        <f>LEFT(data__2[[#This Row],[Month (old2)]], 3)</f>
        <v>Aug</v>
      </c>
    </row>
    <row r="246" spans="2:12" x14ac:dyDescent="0.25">
      <c r="B246" s="33">
        <v>44418</v>
      </c>
      <c r="C246" s="34" t="s">
        <v>24</v>
      </c>
      <c r="D246" s="34" t="s">
        <v>18</v>
      </c>
      <c r="E246" s="13">
        <v>443579</v>
      </c>
      <c r="F246" s="13">
        <v>444521</v>
      </c>
      <c r="G246" s="13">
        <v>443003</v>
      </c>
      <c r="H246" s="13">
        <v>443675</v>
      </c>
      <c r="I246" s="13">
        <v>321984000000</v>
      </c>
      <c r="J246" s="35" t="str">
        <f>TRIM(data__2[[#This Row],[Month (old)]])</f>
        <v>August</v>
      </c>
      <c r="K246" s="35" t="str">
        <f>TRIM(data__2[[#This Row],[Symbol (old)]])</f>
        <v>SP500</v>
      </c>
      <c r="L246" s="36" t="str">
        <f>LEFT(data__2[[#This Row],[Month (old2)]], 3)</f>
        <v>Aug</v>
      </c>
    </row>
    <row r="247" spans="2:12" x14ac:dyDescent="0.25">
      <c r="B247" s="33">
        <v>44418</v>
      </c>
      <c r="C247" s="34" t="s">
        <v>12</v>
      </c>
      <c r="D247" s="34" t="s">
        <v>5</v>
      </c>
      <c r="E247" s="13">
        <v>4572739</v>
      </c>
      <c r="F247" s="13">
        <v>4618347</v>
      </c>
      <c r="G247" s="13">
        <v>4464221</v>
      </c>
      <c r="H247" s="13">
        <v>4559416</v>
      </c>
      <c r="I247" s="13">
        <v>176899</v>
      </c>
      <c r="J247" s="35" t="str">
        <f>TRIM(data__2[[#This Row],[Month (old)]])</f>
        <v>Aug</v>
      </c>
      <c r="K247" s="35" t="str">
        <f>TRIM(data__2[[#This Row],[Symbol (old)]])</f>
        <v>BTCUSD</v>
      </c>
      <c r="L247" s="36" t="str">
        <f>LEFT(data__2[[#This Row],[Month (old2)]], 3)</f>
        <v>Aug</v>
      </c>
    </row>
    <row r="248" spans="2:12" x14ac:dyDescent="0.25">
      <c r="B248" s="33">
        <v>44417</v>
      </c>
      <c r="C248" s="34" t="s">
        <v>24</v>
      </c>
      <c r="D248" s="34" t="s">
        <v>18</v>
      </c>
      <c r="E248" s="13">
        <v>443777</v>
      </c>
      <c r="F248" s="13">
        <v>443939</v>
      </c>
      <c r="G248" s="13">
        <v>442474</v>
      </c>
      <c r="H248" s="13">
        <v>443235</v>
      </c>
      <c r="I248" s="13">
        <v>277988000000</v>
      </c>
      <c r="J248" s="35" t="str">
        <f>TRIM(data__2[[#This Row],[Month (old)]])</f>
        <v>August</v>
      </c>
      <c r="K248" s="35" t="str">
        <f>TRIM(data__2[[#This Row],[Symbol (old)]])</f>
        <v>SP500</v>
      </c>
      <c r="L248" s="36" t="str">
        <f>LEFT(data__2[[#This Row],[Month (old2)]], 3)</f>
        <v>Aug</v>
      </c>
    </row>
    <row r="249" spans="2:12" x14ac:dyDescent="0.25">
      <c r="B249" s="33">
        <v>44417</v>
      </c>
      <c r="C249" s="34" t="s">
        <v>12</v>
      </c>
      <c r="D249" s="34" t="s">
        <v>5</v>
      </c>
      <c r="E249" s="13">
        <v>4352934</v>
      </c>
      <c r="F249" s="13">
        <v>4672986</v>
      </c>
      <c r="G249" s="13">
        <v>4329522</v>
      </c>
      <c r="H249" s="13">
        <v>4572739</v>
      </c>
      <c r="I249" s="13">
        <v>309230</v>
      </c>
      <c r="J249" s="35" t="str">
        <f>TRIM(data__2[[#This Row],[Month (old)]])</f>
        <v>Aug</v>
      </c>
      <c r="K249" s="35" t="str">
        <f>TRIM(data__2[[#This Row],[Symbol (old)]])</f>
        <v>BTCUSD</v>
      </c>
      <c r="L249" s="36" t="str">
        <f>LEFT(data__2[[#This Row],[Month (old2)]], 3)</f>
        <v>Aug</v>
      </c>
    </row>
    <row r="250" spans="2:12" x14ac:dyDescent="0.25">
      <c r="B250" s="33">
        <v>44416</v>
      </c>
      <c r="C250" s="34" t="s">
        <v>12</v>
      </c>
      <c r="D250" s="34" t="s">
        <v>5</v>
      </c>
      <c r="E250" s="13">
        <v>4439134</v>
      </c>
      <c r="F250" s="13">
        <v>4538681</v>
      </c>
      <c r="G250" s="13">
        <v>4281374</v>
      </c>
      <c r="H250" s="13">
        <v>4352934</v>
      </c>
      <c r="I250" s="13">
        <v>202349</v>
      </c>
      <c r="J250" s="35" t="str">
        <f>TRIM(data__2[[#This Row],[Month (old)]])</f>
        <v>Aug</v>
      </c>
      <c r="K250" s="35" t="str">
        <f>TRIM(data__2[[#This Row],[Symbol (old)]])</f>
        <v>BTCUSD</v>
      </c>
      <c r="L250" s="36" t="str">
        <f>LEFT(data__2[[#This Row],[Month (old2)]], 3)</f>
        <v>Aug</v>
      </c>
    </row>
    <row r="251" spans="2:12" x14ac:dyDescent="0.25">
      <c r="B251" s="33">
        <v>44415</v>
      </c>
      <c r="C251" s="34" t="s">
        <v>12</v>
      </c>
      <c r="D251" s="34" t="s">
        <v>5</v>
      </c>
      <c r="E251" s="13">
        <v>4372000</v>
      </c>
      <c r="F251" s="13">
        <v>4483759</v>
      </c>
      <c r="G251" s="13">
        <v>4246000</v>
      </c>
      <c r="H251" s="13">
        <v>4439134</v>
      </c>
      <c r="I251" s="13">
        <v>333616</v>
      </c>
      <c r="J251" s="35" t="str">
        <f>TRIM(data__2[[#This Row],[Month (old)]])</f>
        <v>Aug</v>
      </c>
      <c r="K251" s="35" t="str">
        <f>TRIM(data__2[[#This Row],[Symbol (old)]])</f>
        <v>BTCUSD</v>
      </c>
      <c r="L251" s="36" t="str">
        <f>LEFT(data__2[[#This Row],[Month (old2)]], 3)</f>
        <v>Aug</v>
      </c>
    </row>
    <row r="252" spans="2:12" x14ac:dyDescent="0.25">
      <c r="B252" s="33">
        <v>44414</v>
      </c>
      <c r="C252" s="34" t="s">
        <v>24</v>
      </c>
      <c r="D252" s="34" t="s">
        <v>18</v>
      </c>
      <c r="E252" s="13">
        <v>442907</v>
      </c>
      <c r="F252" s="13">
        <v>444082</v>
      </c>
      <c r="G252" s="13">
        <v>442907</v>
      </c>
      <c r="H252" s="13">
        <v>443652</v>
      </c>
      <c r="I252" s="13">
        <v>283997000000</v>
      </c>
      <c r="J252" s="35" t="str">
        <f>TRIM(data__2[[#This Row],[Month (old)]])</f>
        <v>August</v>
      </c>
      <c r="K252" s="35" t="str">
        <f>TRIM(data__2[[#This Row],[Symbol (old)]])</f>
        <v>SP500</v>
      </c>
      <c r="L252" s="36" t="str">
        <f>LEFT(data__2[[#This Row],[Month (old2)]], 3)</f>
        <v>Aug</v>
      </c>
    </row>
    <row r="253" spans="2:12" x14ac:dyDescent="0.25">
      <c r="B253" s="33">
        <v>44414</v>
      </c>
      <c r="C253" s="34" t="s">
        <v>12</v>
      </c>
      <c r="D253" s="34" t="s">
        <v>5</v>
      </c>
      <c r="E253" s="13">
        <v>4025079</v>
      </c>
      <c r="F253" s="13">
        <v>4379242</v>
      </c>
      <c r="G253" s="13">
        <v>3989739</v>
      </c>
      <c r="H253" s="13">
        <v>4372000</v>
      </c>
      <c r="I253" s="13">
        <v>223833</v>
      </c>
      <c r="J253" s="35" t="str">
        <f>TRIM(data__2[[#This Row],[Month (old)]])</f>
        <v>Aug</v>
      </c>
      <c r="K253" s="35" t="str">
        <f>TRIM(data__2[[#This Row],[Symbol (old)]])</f>
        <v>BTCUSD</v>
      </c>
      <c r="L253" s="36" t="str">
        <f>LEFT(data__2[[#This Row],[Month (old2)]], 3)</f>
        <v>Aug</v>
      </c>
    </row>
    <row r="254" spans="2:12" x14ac:dyDescent="0.25">
      <c r="B254" s="33">
        <v>44413</v>
      </c>
      <c r="C254" s="34" t="s">
        <v>24</v>
      </c>
      <c r="D254" s="34" t="s">
        <v>18</v>
      </c>
      <c r="E254" s="13">
        <v>440886</v>
      </c>
      <c r="F254" s="13">
        <v>442976</v>
      </c>
      <c r="G254" s="13">
        <v>440886</v>
      </c>
      <c r="H254" s="13">
        <v>442910</v>
      </c>
      <c r="I254" s="13">
        <v>273422000000</v>
      </c>
      <c r="J254" s="35" t="str">
        <f>TRIM(data__2[[#This Row],[Month (old)]])</f>
        <v>August</v>
      </c>
      <c r="K254" s="35" t="str">
        <f>TRIM(data__2[[#This Row],[Symbol (old)]])</f>
        <v>SP500</v>
      </c>
      <c r="L254" s="36" t="str">
        <f>LEFT(data__2[[#This Row],[Month (old2)]], 3)</f>
        <v>Aug</v>
      </c>
    </row>
    <row r="255" spans="2:12" x14ac:dyDescent="0.25">
      <c r="B255" s="33">
        <v>44413</v>
      </c>
      <c r="C255" s="34" t="s">
        <v>12</v>
      </c>
      <c r="D255" s="34" t="s">
        <v>5</v>
      </c>
      <c r="E255" s="13">
        <v>3944062</v>
      </c>
      <c r="F255" s="13">
        <v>4143118</v>
      </c>
      <c r="G255" s="13">
        <v>3731106</v>
      </c>
      <c r="H255" s="13">
        <v>4025079</v>
      </c>
      <c r="I255" s="13">
        <v>371550</v>
      </c>
      <c r="J255" s="35" t="str">
        <f>TRIM(data__2[[#This Row],[Month (old)]])</f>
        <v>Aug</v>
      </c>
      <c r="K255" s="35" t="str">
        <f>TRIM(data__2[[#This Row],[Symbol (old)]])</f>
        <v>BTCUSD</v>
      </c>
      <c r="L255" s="36" t="str">
        <f>LEFT(data__2[[#This Row],[Month (old2)]], 3)</f>
        <v>Aug</v>
      </c>
    </row>
    <row r="256" spans="2:12" x14ac:dyDescent="0.25">
      <c r="B256" s="33">
        <v>44412</v>
      </c>
      <c r="C256" s="34" t="s">
        <v>24</v>
      </c>
      <c r="D256" s="34" t="s">
        <v>18</v>
      </c>
      <c r="E256" s="13">
        <v>441595</v>
      </c>
      <c r="F256" s="13">
        <v>441617</v>
      </c>
      <c r="G256" s="13">
        <v>440023</v>
      </c>
      <c r="H256" s="13">
        <v>440266</v>
      </c>
      <c r="I256" s="13">
        <v>338262000000</v>
      </c>
      <c r="J256" s="35" t="str">
        <f>TRIM(data__2[[#This Row],[Month (old)]])</f>
        <v>August</v>
      </c>
      <c r="K256" s="35" t="str">
        <f>TRIM(data__2[[#This Row],[Symbol (old)]])</f>
        <v>SP500</v>
      </c>
      <c r="L256" s="36" t="str">
        <f>LEFT(data__2[[#This Row],[Month (old2)]], 3)</f>
        <v>Aug</v>
      </c>
    </row>
    <row r="257" spans="2:12" x14ac:dyDescent="0.25">
      <c r="B257" s="33">
        <v>44412</v>
      </c>
      <c r="C257" s="34" t="s">
        <v>12</v>
      </c>
      <c r="D257" s="34" t="s">
        <v>5</v>
      </c>
      <c r="E257" s="13">
        <v>3796225</v>
      </c>
      <c r="F257" s="13">
        <v>3997396</v>
      </c>
      <c r="G257" s="13">
        <v>3747215</v>
      </c>
      <c r="H257" s="13">
        <v>3944062</v>
      </c>
      <c r="I257" s="13">
        <v>191135</v>
      </c>
      <c r="J257" s="35" t="str">
        <f>TRIM(data__2[[#This Row],[Month (old)]])</f>
        <v>Aug</v>
      </c>
      <c r="K257" s="35" t="str">
        <f>TRIM(data__2[[#This Row],[Symbol (old)]])</f>
        <v>BTCUSD</v>
      </c>
      <c r="L257" s="36" t="str">
        <f>LEFT(data__2[[#This Row],[Month (old2)]], 3)</f>
        <v>Aug</v>
      </c>
    </row>
    <row r="258" spans="2:12" x14ac:dyDescent="0.25">
      <c r="B258" s="33">
        <v>44411</v>
      </c>
      <c r="C258" s="34" t="s">
        <v>24</v>
      </c>
      <c r="D258" s="34" t="s">
        <v>18</v>
      </c>
      <c r="E258" s="13">
        <v>439274</v>
      </c>
      <c r="F258" s="13">
        <v>442379</v>
      </c>
      <c r="G258" s="13">
        <v>437300</v>
      </c>
      <c r="H258" s="13">
        <v>442315</v>
      </c>
      <c r="I258" s="13">
        <v>330534000000</v>
      </c>
      <c r="J258" s="35" t="str">
        <f>TRIM(data__2[[#This Row],[Month (old)]])</f>
        <v>August</v>
      </c>
      <c r="K258" s="35" t="str">
        <f>TRIM(data__2[[#This Row],[Symbol (old)]])</f>
        <v>SP500</v>
      </c>
      <c r="L258" s="36" t="str">
        <f>LEFT(data__2[[#This Row],[Month (old2)]], 3)</f>
        <v>Aug</v>
      </c>
    </row>
    <row r="259" spans="2:12" x14ac:dyDescent="0.25">
      <c r="B259" s="33">
        <v>44411</v>
      </c>
      <c r="C259" s="34" t="s">
        <v>12</v>
      </c>
      <c r="D259" s="34" t="s">
        <v>5</v>
      </c>
      <c r="E259" s="13">
        <v>3865000</v>
      </c>
      <c r="F259" s="13">
        <v>3882481</v>
      </c>
      <c r="G259" s="13">
        <v>3755809</v>
      </c>
      <c r="H259" s="13">
        <v>3796225</v>
      </c>
      <c r="I259" s="13">
        <v>275052</v>
      </c>
      <c r="J259" s="35" t="str">
        <f>TRIM(data__2[[#This Row],[Month (old)]])</f>
        <v>Aug</v>
      </c>
      <c r="K259" s="35" t="str">
        <f>TRIM(data__2[[#This Row],[Symbol (old)]])</f>
        <v>BTCUSD</v>
      </c>
      <c r="L259" s="36" t="str">
        <f>LEFT(data__2[[#This Row],[Month (old2)]], 3)</f>
        <v>Aug</v>
      </c>
    </row>
    <row r="260" spans="2:12" x14ac:dyDescent="0.25">
      <c r="B260" s="33">
        <v>44410</v>
      </c>
      <c r="C260" s="34" t="s">
        <v>24</v>
      </c>
      <c r="D260" s="34" t="s">
        <v>18</v>
      </c>
      <c r="E260" s="13">
        <v>440686</v>
      </c>
      <c r="F260" s="13">
        <v>442218</v>
      </c>
      <c r="G260" s="13">
        <v>438481</v>
      </c>
      <c r="H260" s="13">
        <v>438716</v>
      </c>
      <c r="I260" s="13">
        <v>291994000000</v>
      </c>
      <c r="J260" s="35" t="str">
        <f>TRIM(data__2[[#This Row],[Month (old)]])</f>
        <v>August</v>
      </c>
      <c r="K260" s="35" t="str">
        <f>TRIM(data__2[[#This Row],[Symbol (old)]])</f>
        <v>SP500</v>
      </c>
      <c r="L260" s="36" t="str">
        <f>LEFT(data__2[[#This Row],[Month (old2)]], 3)</f>
        <v>Aug</v>
      </c>
    </row>
    <row r="261" spans="2:12" x14ac:dyDescent="0.25">
      <c r="B261" s="33">
        <v>44410</v>
      </c>
      <c r="C261" s="34" t="s">
        <v>12</v>
      </c>
      <c r="D261" s="34" t="s">
        <v>5</v>
      </c>
      <c r="E261" s="13">
        <v>3981154</v>
      </c>
      <c r="F261" s="13">
        <v>4044658</v>
      </c>
      <c r="G261" s="13">
        <v>3851500</v>
      </c>
      <c r="H261" s="13">
        <v>3865000</v>
      </c>
      <c r="I261" s="13">
        <v>181510</v>
      </c>
      <c r="J261" s="35" t="str">
        <f>TRIM(data__2[[#This Row],[Month (old)]])</f>
        <v>Aug</v>
      </c>
      <c r="K261" s="35" t="str">
        <f>TRIM(data__2[[#This Row],[Symbol (old)]])</f>
        <v>BTCUSD</v>
      </c>
      <c r="L261" s="36" t="str">
        <f>LEFT(data__2[[#This Row],[Month (old2)]], 3)</f>
        <v>Aug</v>
      </c>
    </row>
    <row r="262" spans="2:12" x14ac:dyDescent="0.25">
      <c r="B262" s="33">
        <v>44409</v>
      </c>
      <c r="C262" s="34" t="s">
        <v>12</v>
      </c>
      <c r="D262" s="34" t="s">
        <v>5</v>
      </c>
      <c r="E262" s="13">
        <v>4246113</v>
      </c>
      <c r="F262" s="13">
        <v>4247528</v>
      </c>
      <c r="G262" s="13">
        <v>3921305</v>
      </c>
      <c r="H262" s="13">
        <v>3981154</v>
      </c>
      <c r="I262" s="13">
        <v>123792</v>
      </c>
      <c r="J262" s="35" t="str">
        <f>TRIM(data__2[[#This Row],[Month (old)]])</f>
        <v>Aug</v>
      </c>
      <c r="K262" s="35" t="str">
        <f>TRIM(data__2[[#This Row],[Symbol (old)]])</f>
        <v>BTCUSD</v>
      </c>
      <c r="L262" s="36" t="str">
        <f>LEFT(data__2[[#This Row],[Month (old2)]], 3)</f>
        <v>Aug</v>
      </c>
    </row>
    <row r="263" spans="2:12" x14ac:dyDescent="0.25">
      <c r="B263" s="33">
        <v>44408</v>
      </c>
      <c r="C263" s="34" t="s">
        <v>11</v>
      </c>
      <c r="D263" s="34" t="s">
        <v>5</v>
      </c>
      <c r="E263" s="13">
        <v>4184036</v>
      </c>
      <c r="F263" s="13">
        <v>4260000</v>
      </c>
      <c r="G263" s="13">
        <v>4107259</v>
      </c>
      <c r="H263" s="13">
        <v>4246113</v>
      </c>
      <c r="I263" s="13">
        <v>68736</v>
      </c>
      <c r="J263" s="35" t="str">
        <f>TRIM(data__2[[#This Row],[Month (old)]])</f>
        <v>Jul</v>
      </c>
      <c r="K263" s="35" t="str">
        <f>TRIM(data__2[[#This Row],[Symbol (old)]])</f>
        <v>BTCUSD</v>
      </c>
      <c r="L263" s="36" t="str">
        <f>LEFT(data__2[[#This Row],[Month (old2)]], 3)</f>
        <v>Jul</v>
      </c>
    </row>
    <row r="264" spans="2:12" x14ac:dyDescent="0.25">
      <c r="B264" s="33">
        <v>44407</v>
      </c>
      <c r="C264" s="34" t="s">
        <v>23</v>
      </c>
      <c r="D264" s="34" t="s">
        <v>18</v>
      </c>
      <c r="E264" s="13">
        <v>439512</v>
      </c>
      <c r="F264" s="13">
        <v>441225</v>
      </c>
      <c r="G264" s="13">
        <v>438965</v>
      </c>
      <c r="H264" s="13">
        <v>439526</v>
      </c>
      <c r="I264" s="13">
        <v>286160000000</v>
      </c>
      <c r="J264" s="35" t="str">
        <f>TRIM(data__2[[#This Row],[Month (old)]])</f>
        <v>July</v>
      </c>
      <c r="K264" s="35" t="str">
        <f>TRIM(data__2[[#This Row],[Symbol (old)]])</f>
        <v>SP500</v>
      </c>
      <c r="L264" s="36" t="str">
        <f>LEFT(data__2[[#This Row],[Month (old2)]], 3)</f>
        <v>Jul</v>
      </c>
    </row>
    <row r="265" spans="2:12" x14ac:dyDescent="0.25">
      <c r="B265" s="33">
        <v>44407</v>
      </c>
      <c r="C265" s="34" t="s">
        <v>11</v>
      </c>
      <c r="D265" s="34" t="s">
        <v>5</v>
      </c>
      <c r="E265" s="13">
        <v>3998279</v>
      </c>
      <c r="F265" s="13">
        <v>4240000</v>
      </c>
      <c r="G265" s="13">
        <v>3835000</v>
      </c>
      <c r="H265" s="13">
        <v>4184036</v>
      </c>
      <c r="I265" s="13">
        <v>260084</v>
      </c>
      <c r="J265" s="35" t="str">
        <f>TRIM(data__2[[#This Row],[Month (old)]])</f>
        <v>Jul</v>
      </c>
      <c r="K265" s="35" t="str">
        <f>TRIM(data__2[[#This Row],[Symbol (old)]])</f>
        <v>BTCUSD</v>
      </c>
      <c r="L265" s="36" t="str">
        <f>LEFT(data__2[[#This Row],[Month (old2)]], 3)</f>
        <v>Jul</v>
      </c>
    </row>
    <row r="266" spans="2:12" x14ac:dyDescent="0.25">
      <c r="B266" s="33">
        <v>44406</v>
      </c>
      <c r="C266" s="34" t="s">
        <v>23</v>
      </c>
      <c r="D266" s="34" t="s">
        <v>18</v>
      </c>
      <c r="E266" s="13">
        <v>440359</v>
      </c>
      <c r="F266" s="13">
        <v>442997</v>
      </c>
      <c r="G266" s="13">
        <v>440359</v>
      </c>
      <c r="H266" s="13">
        <v>441915</v>
      </c>
      <c r="I266" s="13">
        <v>281551000000</v>
      </c>
      <c r="J266" s="35" t="str">
        <f>TRIM(data__2[[#This Row],[Month (old)]])</f>
        <v>July</v>
      </c>
      <c r="K266" s="35" t="str">
        <f>TRIM(data__2[[#This Row],[Symbol (old)]])</f>
        <v>SP500</v>
      </c>
      <c r="L266" s="36" t="str">
        <f>LEFT(data__2[[#This Row],[Month (old2)]], 3)</f>
        <v>Jul</v>
      </c>
    </row>
    <row r="267" spans="2:12" x14ac:dyDescent="0.25">
      <c r="B267" s="33">
        <v>44406</v>
      </c>
      <c r="C267" s="34" t="s">
        <v>11</v>
      </c>
      <c r="D267" s="34" t="s">
        <v>5</v>
      </c>
      <c r="E267" s="13">
        <v>3963877</v>
      </c>
      <c r="F267" s="13">
        <v>4063914</v>
      </c>
      <c r="G267" s="13">
        <v>3940940</v>
      </c>
      <c r="H267" s="13">
        <v>3998279</v>
      </c>
      <c r="I267" s="13">
        <v>156172</v>
      </c>
      <c r="J267" s="35" t="str">
        <f>TRIM(data__2[[#This Row],[Month (old)]])</f>
        <v>Jul</v>
      </c>
      <c r="K267" s="35" t="str">
        <f>TRIM(data__2[[#This Row],[Symbol (old)]])</f>
        <v>BTCUSD</v>
      </c>
      <c r="L267" s="36" t="str">
        <f>LEFT(data__2[[#This Row],[Month (old2)]], 3)</f>
        <v>Jul</v>
      </c>
    </row>
    <row r="268" spans="2:12" x14ac:dyDescent="0.25">
      <c r="B268" s="33">
        <v>44405</v>
      </c>
      <c r="C268" s="34" t="s">
        <v>23</v>
      </c>
      <c r="D268" s="34" t="s">
        <v>18</v>
      </c>
      <c r="E268" s="13">
        <v>440295</v>
      </c>
      <c r="F268" s="13">
        <v>441547</v>
      </c>
      <c r="G268" s="13">
        <v>438701</v>
      </c>
      <c r="H268" s="13">
        <v>440064</v>
      </c>
      <c r="I268" s="13">
        <v>321513000000</v>
      </c>
      <c r="J268" s="35" t="str">
        <f>TRIM(data__2[[#This Row],[Month (old)]])</f>
        <v>July</v>
      </c>
      <c r="K268" s="35" t="str">
        <f>TRIM(data__2[[#This Row],[Symbol (old)]])</f>
        <v>SP500</v>
      </c>
      <c r="L268" s="36" t="str">
        <f>LEFT(data__2[[#This Row],[Month (old2)]], 3)</f>
        <v>Jul</v>
      </c>
    </row>
    <row r="269" spans="2:12" x14ac:dyDescent="0.25">
      <c r="B269" s="33">
        <v>44405</v>
      </c>
      <c r="C269" s="34" t="s">
        <v>11</v>
      </c>
      <c r="D269" s="34" t="s">
        <v>5</v>
      </c>
      <c r="E269" s="13">
        <v>3984844</v>
      </c>
      <c r="F269" s="13">
        <v>4092846</v>
      </c>
      <c r="G269" s="13">
        <v>3880347</v>
      </c>
      <c r="H269" s="13">
        <v>3963877</v>
      </c>
      <c r="I269" s="13">
        <v>368236</v>
      </c>
      <c r="J269" s="35" t="str">
        <f>TRIM(data__2[[#This Row],[Month (old)]])</f>
        <v>Jul</v>
      </c>
      <c r="K269" s="35" t="str">
        <f>TRIM(data__2[[#This Row],[Symbol (old)]])</f>
        <v>BTCUSD</v>
      </c>
      <c r="L269" s="36" t="str">
        <f>LEFT(data__2[[#This Row],[Month (old2)]], 3)</f>
        <v>Jul</v>
      </c>
    </row>
    <row r="270" spans="2:12" x14ac:dyDescent="0.25">
      <c r="B270" s="33">
        <v>44404</v>
      </c>
      <c r="C270" s="34" t="s">
        <v>23</v>
      </c>
      <c r="D270" s="34" t="s">
        <v>18</v>
      </c>
      <c r="E270" s="13">
        <v>441638</v>
      </c>
      <c r="F270" s="13">
        <v>441638</v>
      </c>
      <c r="G270" s="13">
        <v>437251</v>
      </c>
      <c r="H270" s="13">
        <v>440146</v>
      </c>
      <c r="I270" s="13">
        <v>338108000000</v>
      </c>
      <c r="J270" s="35" t="str">
        <f>TRIM(data__2[[#This Row],[Month (old)]])</f>
        <v>July</v>
      </c>
      <c r="K270" s="35" t="str">
        <f>TRIM(data__2[[#This Row],[Symbol (old)]])</f>
        <v>SP500</v>
      </c>
      <c r="L270" s="36" t="str">
        <f>LEFT(data__2[[#This Row],[Month (old2)]], 3)</f>
        <v>Jul</v>
      </c>
    </row>
    <row r="271" spans="2:12" x14ac:dyDescent="0.25">
      <c r="B271" s="33">
        <v>44404</v>
      </c>
      <c r="C271" s="34" t="s">
        <v>11</v>
      </c>
      <c r="D271" s="34" t="s">
        <v>5</v>
      </c>
      <c r="E271" s="13">
        <v>3685152</v>
      </c>
      <c r="F271" s="13">
        <v>4036657</v>
      </c>
      <c r="G271" s="13">
        <v>3671313</v>
      </c>
      <c r="H271" s="13">
        <v>3984844</v>
      </c>
      <c r="I271" s="13">
        <v>572911</v>
      </c>
      <c r="J271" s="35" t="str">
        <f>TRIM(data__2[[#This Row],[Month (old)]])</f>
        <v>Jul</v>
      </c>
      <c r="K271" s="35" t="str">
        <f>TRIM(data__2[[#This Row],[Symbol (old)]])</f>
        <v>BTCUSD</v>
      </c>
      <c r="L271" s="36" t="str">
        <f>LEFT(data__2[[#This Row],[Month (old2)]], 3)</f>
        <v>Jul</v>
      </c>
    </row>
    <row r="272" spans="2:12" x14ac:dyDescent="0.25">
      <c r="B272" s="33">
        <v>44403</v>
      </c>
      <c r="C272" s="34" t="s">
        <v>23</v>
      </c>
      <c r="D272" s="34" t="s">
        <v>18</v>
      </c>
      <c r="E272" s="13">
        <v>440958</v>
      </c>
      <c r="F272" s="13">
        <v>442273</v>
      </c>
      <c r="G272" s="13">
        <v>440545</v>
      </c>
      <c r="H272" s="13">
        <v>442230</v>
      </c>
      <c r="I272" s="13">
        <v>267911000000</v>
      </c>
      <c r="J272" s="35" t="str">
        <f>TRIM(data__2[[#This Row],[Month (old)]])</f>
        <v>July</v>
      </c>
      <c r="K272" s="35" t="str">
        <f>TRIM(data__2[[#This Row],[Symbol (old)]])</f>
        <v>SP500</v>
      </c>
      <c r="L272" s="36" t="str">
        <f>LEFT(data__2[[#This Row],[Month (old2)]], 3)</f>
        <v>Jul</v>
      </c>
    </row>
    <row r="273" spans="2:12" x14ac:dyDescent="0.25">
      <c r="B273" s="33">
        <v>44403</v>
      </c>
      <c r="C273" s="34" t="s">
        <v>11</v>
      </c>
      <c r="D273" s="34" t="s">
        <v>5</v>
      </c>
      <c r="E273" s="13">
        <v>3831257</v>
      </c>
      <c r="F273" s="13">
        <v>4057245</v>
      </c>
      <c r="G273" s="13">
        <v>3640000</v>
      </c>
      <c r="H273" s="13">
        <v>3685152</v>
      </c>
      <c r="I273" s="13">
        <v>502111</v>
      </c>
      <c r="J273" s="35" t="str">
        <f>TRIM(data__2[[#This Row],[Month (old)]])</f>
        <v>Jul</v>
      </c>
      <c r="K273" s="35" t="str">
        <f>TRIM(data__2[[#This Row],[Symbol (old)]])</f>
        <v>BTCUSD</v>
      </c>
      <c r="L273" s="36" t="str">
        <f>LEFT(data__2[[#This Row],[Month (old2)]], 3)</f>
        <v>Jul</v>
      </c>
    </row>
    <row r="274" spans="2:12" x14ac:dyDescent="0.25">
      <c r="B274" s="33">
        <v>44402</v>
      </c>
      <c r="C274" s="34" t="s">
        <v>11</v>
      </c>
      <c r="D274" s="34" t="s">
        <v>5</v>
      </c>
      <c r="E274" s="13">
        <v>3419214</v>
      </c>
      <c r="F274" s="13">
        <v>3978293</v>
      </c>
      <c r="G274" s="13">
        <v>3389422</v>
      </c>
      <c r="H274" s="13">
        <v>3831257</v>
      </c>
      <c r="I274" s="13">
        <v>355808</v>
      </c>
      <c r="J274" s="35" t="str">
        <f>TRIM(data__2[[#This Row],[Month (old)]])</f>
        <v>Jul</v>
      </c>
      <c r="K274" s="35" t="str">
        <f>TRIM(data__2[[#This Row],[Symbol (old)]])</f>
        <v>BTCUSD</v>
      </c>
      <c r="L274" s="36" t="str">
        <f>LEFT(data__2[[#This Row],[Month (old2)]], 3)</f>
        <v>Jul</v>
      </c>
    </row>
    <row r="275" spans="2:12" x14ac:dyDescent="0.25">
      <c r="B275" s="33">
        <v>44401</v>
      </c>
      <c r="C275" s="34" t="s">
        <v>11</v>
      </c>
      <c r="D275" s="34" t="s">
        <v>5</v>
      </c>
      <c r="E275" s="13">
        <v>3368958</v>
      </c>
      <c r="F275" s="13">
        <v>3452550</v>
      </c>
      <c r="G275" s="13">
        <v>3358240</v>
      </c>
      <c r="H275" s="13">
        <v>3419214</v>
      </c>
      <c r="I275" s="13">
        <v>78546</v>
      </c>
      <c r="J275" s="35" t="str">
        <f>TRIM(data__2[[#This Row],[Month (old)]])</f>
        <v>Jul</v>
      </c>
      <c r="K275" s="35" t="str">
        <f>TRIM(data__2[[#This Row],[Symbol (old)]])</f>
        <v>BTCUSD</v>
      </c>
      <c r="L275" s="36" t="str">
        <f>LEFT(data__2[[#This Row],[Month (old2)]], 3)</f>
        <v>Jul</v>
      </c>
    </row>
    <row r="276" spans="2:12" x14ac:dyDescent="0.25">
      <c r="B276" s="33">
        <v>44400</v>
      </c>
      <c r="C276" s="34" t="s">
        <v>23</v>
      </c>
      <c r="D276" s="34" t="s">
        <v>18</v>
      </c>
      <c r="E276" s="13">
        <v>438120</v>
      </c>
      <c r="F276" s="13">
        <v>441518</v>
      </c>
      <c r="G276" s="13">
        <v>438120</v>
      </c>
      <c r="H276" s="13">
        <v>441179</v>
      </c>
      <c r="I276" s="13">
        <v>349073000000</v>
      </c>
      <c r="J276" s="35" t="str">
        <f>TRIM(data__2[[#This Row],[Month (old)]])</f>
        <v>July</v>
      </c>
      <c r="K276" s="35" t="str">
        <f>TRIM(data__2[[#This Row],[Symbol (old)]])</f>
        <v>SP500</v>
      </c>
      <c r="L276" s="36" t="str">
        <f>LEFT(data__2[[#This Row],[Month (old2)]], 3)</f>
        <v>Jul</v>
      </c>
    </row>
    <row r="277" spans="2:12" x14ac:dyDescent="0.25">
      <c r="B277" s="33">
        <v>44400</v>
      </c>
      <c r="C277" s="34" t="s">
        <v>11</v>
      </c>
      <c r="D277" s="34" t="s">
        <v>5</v>
      </c>
      <c r="E277" s="13">
        <v>3259843</v>
      </c>
      <c r="F277" s="13">
        <v>3380000</v>
      </c>
      <c r="G277" s="13">
        <v>3200000</v>
      </c>
      <c r="H277" s="13">
        <v>3368958</v>
      </c>
      <c r="I277" s="13">
        <v>131958</v>
      </c>
      <c r="J277" s="35" t="str">
        <f>TRIM(data__2[[#This Row],[Month (old)]])</f>
        <v>Jul</v>
      </c>
      <c r="K277" s="35" t="str">
        <f>TRIM(data__2[[#This Row],[Symbol (old)]])</f>
        <v>BTCUSD</v>
      </c>
      <c r="L277" s="36" t="str">
        <f>LEFT(data__2[[#This Row],[Month (old2)]], 3)</f>
        <v>Jul</v>
      </c>
    </row>
    <row r="278" spans="2:12" x14ac:dyDescent="0.25">
      <c r="B278" s="33">
        <v>44399</v>
      </c>
      <c r="C278" s="34" t="s">
        <v>23</v>
      </c>
      <c r="D278" s="34" t="s">
        <v>18</v>
      </c>
      <c r="E278" s="13">
        <v>436127</v>
      </c>
      <c r="F278" s="13">
        <v>436987</v>
      </c>
      <c r="G278" s="13">
        <v>435006</v>
      </c>
      <c r="H278" s="13">
        <v>436748</v>
      </c>
      <c r="I278" s="13">
        <v>290791000000</v>
      </c>
      <c r="J278" s="35" t="str">
        <f>TRIM(data__2[[#This Row],[Month (old)]])</f>
        <v>July</v>
      </c>
      <c r="K278" s="35" t="str">
        <f>TRIM(data__2[[#This Row],[Symbol (old)]])</f>
        <v>SP500</v>
      </c>
      <c r="L278" s="36" t="str">
        <f>LEFT(data__2[[#This Row],[Month (old2)]], 3)</f>
        <v>Jul</v>
      </c>
    </row>
    <row r="279" spans="2:12" x14ac:dyDescent="0.25">
      <c r="B279" s="33">
        <v>44399</v>
      </c>
      <c r="C279" s="34" t="s">
        <v>11</v>
      </c>
      <c r="D279" s="34" t="s">
        <v>5</v>
      </c>
      <c r="E279" s="13">
        <v>3194752</v>
      </c>
      <c r="F279" s="13">
        <v>3280646</v>
      </c>
      <c r="G279" s="13">
        <v>3173234</v>
      </c>
      <c r="H279" s="13">
        <v>3259843</v>
      </c>
      <c r="I279" s="13">
        <v>122310</v>
      </c>
      <c r="J279" s="35" t="str">
        <f>TRIM(data__2[[#This Row],[Month (old)]])</f>
        <v>Jul</v>
      </c>
      <c r="K279" s="35" t="str">
        <f>TRIM(data__2[[#This Row],[Symbol (old)]])</f>
        <v>BTCUSD</v>
      </c>
      <c r="L279" s="36" t="str">
        <f>LEFT(data__2[[#This Row],[Month (old2)]], 3)</f>
        <v>Jul</v>
      </c>
    </row>
    <row r="280" spans="2:12" x14ac:dyDescent="0.25">
      <c r="B280" s="33">
        <v>44398</v>
      </c>
      <c r="C280" s="34" t="s">
        <v>23</v>
      </c>
      <c r="D280" s="34" t="s">
        <v>18</v>
      </c>
      <c r="E280" s="13">
        <v>433113</v>
      </c>
      <c r="F280" s="13">
        <v>435970</v>
      </c>
      <c r="G280" s="13">
        <v>433113</v>
      </c>
      <c r="H280" s="13">
        <v>435869</v>
      </c>
      <c r="I280" s="13">
        <v>307855000000</v>
      </c>
      <c r="J280" s="35" t="str">
        <f>TRIM(data__2[[#This Row],[Month (old)]])</f>
        <v>July</v>
      </c>
      <c r="K280" s="35" t="str">
        <f>TRIM(data__2[[#This Row],[Symbol (old)]])</f>
        <v>SP500</v>
      </c>
      <c r="L280" s="36" t="str">
        <f>LEFT(data__2[[#This Row],[Month (old2)]], 3)</f>
        <v>Jul</v>
      </c>
    </row>
    <row r="281" spans="2:12" x14ac:dyDescent="0.25">
      <c r="B281" s="33">
        <v>44398</v>
      </c>
      <c r="C281" s="34" t="s">
        <v>11</v>
      </c>
      <c r="D281" s="34" t="s">
        <v>5</v>
      </c>
      <c r="E281" s="13">
        <v>2985386</v>
      </c>
      <c r="F281" s="13">
        <v>3295000</v>
      </c>
      <c r="G281" s="13">
        <v>2985386</v>
      </c>
      <c r="H281" s="13">
        <v>3194752</v>
      </c>
      <c r="I281" s="13">
        <v>302328</v>
      </c>
      <c r="J281" s="35" t="str">
        <f>TRIM(data__2[[#This Row],[Month (old)]])</f>
        <v>Jul</v>
      </c>
      <c r="K281" s="35" t="str">
        <f>TRIM(data__2[[#This Row],[Symbol (old)]])</f>
        <v>BTCUSD</v>
      </c>
      <c r="L281" s="36" t="str">
        <f>LEFT(data__2[[#This Row],[Month (old2)]], 3)</f>
        <v>Jul</v>
      </c>
    </row>
    <row r="282" spans="2:12" x14ac:dyDescent="0.25">
      <c r="B282" s="33">
        <v>44397</v>
      </c>
      <c r="C282" s="34" t="s">
        <v>23</v>
      </c>
      <c r="D282" s="34" t="s">
        <v>18</v>
      </c>
      <c r="E282" s="13">
        <v>426511</v>
      </c>
      <c r="F282" s="13">
        <v>433684</v>
      </c>
      <c r="G282" s="13">
        <v>426205</v>
      </c>
      <c r="H282" s="13">
        <v>432306</v>
      </c>
      <c r="I282" s="13">
        <v>363419000000</v>
      </c>
      <c r="J282" s="35" t="str">
        <f>TRIM(data__2[[#This Row],[Month (old)]])</f>
        <v>July</v>
      </c>
      <c r="K282" s="35" t="str">
        <f>TRIM(data__2[[#This Row],[Symbol (old)]])</f>
        <v>SP500</v>
      </c>
      <c r="L282" s="36" t="str">
        <f>LEFT(data__2[[#This Row],[Month (old2)]], 3)</f>
        <v>Jul</v>
      </c>
    </row>
    <row r="283" spans="2:12" x14ac:dyDescent="0.25">
      <c r="B283" s="33">
        <v>44397</v>
      </c>
      <c r="C283" s="34" t="s">
        <v>11</v>
      </c>
      <c r="D283" s="34" t="s">
        <v>5</v>
      </c>
      <c r="E283" s="13">
        <v>2960535</v>
      </c>
      <c r="F283" s="13">
        <v>3000572</v>
      </c>
      <c r="G283" s="13">
        <v>2928435</v>
      </c>
      <c r="H283" s="13">
        <v>2985386</v>
      </c>
      <c r="I283" s="13">
        <v>207528</v>
      </c>
      <c r="J283" s="35" t="str">
        <f>TRIM(data__2[[#This Row],[Month (old)]])</f>
        <v>Jul</v>
      </c>
      <c r="K283" s="35" t="str">
        <f>TRIM(data__2[[#This Row],[Symbol (old)]])</f>
        <v>BTCUSD</v>
      </c>
      <c r="L283" s="36" t="str">
        <f>LEFT(data__2[[#This Row],[Month (old2)]], 3)</f>
        <v>Jul</v>
      </c>
    </row>
    <row r="284" spans="2:12" x14ac:dyDescent="0.25">
      <c r="B284" s="33">
        <v>44396</v>
      </c>
      <c r="C284" s="34" t="s">
        <v>23</v>
      </c>
      <c r="D284" s="34" t="s">
        <v>18</v>
      </c>
      <c r="E284" s="13">
        <v>429640</v>
      </c>
      <c r="F284" s="13">
        <v>429640</v>
      </c>
      <c r="G284" s="13">
        <v>423313</v>
      </c>
      <c r="H284" s="13">
        <v>425849</v>
      </c>
      <c r="I284" s="13">
        <v>415579000000</v>
      </c>
      <c r="J284" s="35" t="str">
        <f>TRIM(data__2[[#This Row],[Month (old)]])</f>
        <v>July</v>
      </c>
      <c r="K284" s="35" t="str">
        <f>TRIM(data__2[[#This Row],[Symbol (old)]])</f>
        <v>SP500</v>
      </c>
      <c r="L284" s="36" t="str">
        <f>LEFT(data__2[[#This Row],[Month (old2)]], 3)</f>
        <v>Jul</v>
      </c>
    </row>
    <row r="285" spans="2:12" x14ac:dyDescent="0.25">
      <c r="B285" s="33">
        <v>44396</v>
      </c>
      <c r="C285" s="34" t="s">
        <v>11</v>
      </c>
      <c r="D285" s="34" t="s">
        <v>5</v>
      </c>
      <c r="E285" s="13">
        <v>3154722</v>
      </c>
      <c r="F285" s="13">
        <v>3189059</v>
      </c>
      <c r="G285" s="13">
        <v>2950000</v>
      </c>
      <c r="H285" s="13">
        <v>2960535</v>
      </c>
      <c r="I285" s="13">
        <v>218444</v>
      </c>
      <c r="J285" s="35" t="str">
        <f>TRIM(data__2[[#This Row],[Month (old)]])</f>
        <v>Jul</v>
      </c>
      <c r="K285" s="35" t="str">
        <f>TRIM(data__2[[#This Row],[Symbol (old)]])</f>
        <v>BTCUSD</v>
      </c>
      <c r="L285" s="36" t="str">
        <f>LEFT(data__2[[#This Row],[Month (old2)]], 3)</f>
        <v>Jul</v>
      </c>
    </row>
    <row r="286" spans="2:12" x14ac:dyDescent="0.25">
      <c r="B286" s="33">
        <v>44395</v>
      </c>
      <c r="C286" s="34" t="s">
        <v>11</v>
      </c>
      <c r="D286" s="34" t="s">
        <v>5</v>
      </c>
      <c r="E286" s="13">
        <v>3216982</v>
      </c>
      <c r="F286" s="13">
        <v>3220055</v>
      </c>
      <c r="G286" s="13">
        <v>3112300</v>
      </c>
      <c r="H286" s="13">
        <v>3154722</v>
      </c>
      <c r="I286" s="13">
        <v>57289</v>
      </c>
      <c r="J286" s="35" t="str">
        <f>TRIM(data__2[[#This Row],[Month (old)]])</f>
        <v>Jul</v>
      </c>
      <c r="K286" s="35" t="str">
        <f>TRIM(data__2[[#This Row],[Symbol (old)]])</f>
        <v>BTCUSD</v>
      </c>
      <c r="L286" s="36" t="str">
        <f>LEFT(data__2[[#This Row],[Month (old2)]], 3)</f>
        <v>Jul</v>
      </c>
    </row>
    <row r="287" spans="2:12" x14ac:dyDescent="0.25">
      <c r="B287" s="33">
        <v>44394</v>
      </c>
      <c r="C287" s="34" t="s">
        <v>11</v>
      </c>
      <c r="D287" s="34" t="s">
        <v>5</v>
      </c>
      <c r="E287" s="13">
        <v>3131383</v>
      </c>
      <c r="F287" s="13">
        <v>3243707</v>
      </c>
      <c r="G287" s="13">
        <v>3120623</v>
      </c>
      <c r="H287" s="13">
        <v>3216982</v>
      </c>
      <c r="I287" s="13">
        <v>76531</v>
      </c>
      <c r="J287" s="35" t="str">
        <f>TRIM(data__2[[#This Row],[Month (old)]])</f>
        <v>Jul</v>
      </c>
      <c r="K287" s="35" t="str">
        <f>TRIM(data__2[[#This Row],[Symbol (old)]])</f>
        <v>BTCUSD</v>
      </c>
      <c r="L287" s="36" t="str">
        <f>LEFT(data__2[[#This Row],[Month (old2)]], 3)</f>
        <v>Jul</v>
      </c>
    </row>
    <row r="288" spans="2:12" x14ac:dyDescent="0.25">
      <c r="B288" s="33">
        <v>44393</v>
      </c>
      <c r="C288" s="34" t="s">
        <v>23</v>
      </c>
      <c r="D288" s="34" t="s">
        <v>18</v>
      </c>
      <c r="E288" s="13">
        <v>436743</v>
      </c>
      <c r="F288" s="13">
        <v>437509</v>
      </c>
      <c r="G288" s="13">
        <v>432253</v>
      </c>
      <c r="H288" s="13">
        <v>432716</v>
      </c>
      <c r="I288" s="13">
        <v>316516000000</v>
      </c>
      <c r="J288" s="35" t="str">
        <f>TRIM(data__2[[#This Row],[Month (old)]])</f>
        <v>July</v>
      </c>
      <c r="K288" s="35" t="str">
        <f>TRIM(data__2[[#This Row],[Symbol (old)]])</f>
        <v>SP500</v>
      </c>
      <c r="L288" s="36" t="str">
        <f>LEFT(data__2[[#This Row],[Month (old2)]], 3)</f>
        <v>Jul</v>
      </c>
    </row>
    <row r="289" spans="2:12" x14ac:dyDescent="0.25">
      <c r="B289" s="33">
        <v>44393</v>
      </c>
      <c r="C289" s="34" t="s">
        <v>11</v>
      </c>
      <c r="D289" s="34" t="s">
        <v>5</v>
      </c>
      <c r="E289" s="13">
        <v>3192493</v>
      </c>
      <c r="F289" s="13">
        <v>3225221</v>
      </c>
      <c r="G289" s="13">
        <v>3102701</v>
      </c>
      <c r="H289" s="13">
        <v>3131383</v>
      </c>
      <c r="I289" s="13">
        <v>135502</v>
      </c>
      <c r="J289" s="35" t="str">
        <f>TRIM(data__2[[#This Row],[Month (old)]])</f>
        <v>Jul</v>
      </c>
      <c r="K289" s="35" t="str">
        <f>TRIM(data__2[[#This Row],[Symbol (old)]])</f>
        <v>BTCUSD</v>
      </c>
      <c r="L289" s="36" t="str">
        <f>LEFT(data__2[[#This Row],[Month (old2)]], 3)</f>
        <v>Jul</v>
      </c>
    </row>
    <row r="290" spans="2:12" x14ac:dyDescent="0.25">
      <c r="B290" s="33">
        <v>44392</v>
      </c>
      <c r="C290" s="34" t="s">
        <v>23</v>
      </c>
      <c r="D290" s="34" t="s">
        <v>18</v>
      </c>
      <c r="E290" s="13">
        <v>436902</v>
      </c>
      <c r="F290" s="13">
        <v>436902</v>
      </c>
      <c r="G290" s="13">
        <v>434070</v>
      </c>
      <c r="H290" s="13">
        <v>436003</v>
      </c>
      <c r="I290" s="13">
        <v>322693000000</v>
      </c>
      <c r="J290" s="35" t="str">
        <f>TRIM(data__2[[#This Row],[Month (old)]])</f>
        <v>July</v>
      </c>
      <c r="K290" s="35" t="str">
        <f>TRIM(data__2[[#This Row],[Symbol (old)]])</f>
        <v>SP500</v>
      </c>
      <c r="L290" s="36" t="str">
        <f>LEFT(data__2[[#This Row],[Month (old2)]], 3)</f>
        <v>Jul</v>
      </c>
    </row>
    <row r="291" spans="2:12" x14ac:dyDescent="0.25">
      <c r="B291" s="33">
        <v>44392</v>
      </c>
      <c r="C291" s="34" t="s">
        <v>11</v>
      </c>
      <c r="D291" s="34" t="s">
        <v>5</v>
      </c>
      <c r="E291" s="13">
        <v>3267154</v>
      </c>
      <c r="F291" s="13">
        <v>3269172</v>
      </c>
      <c r="G291" s="13">
        <v>3113500</v>
      </c>
      <c r="H291" s="13">
        <v>3192493</v>
      </c>
      <c r="I291" s="13">
        <v>153441</v>
      </c>
      <c r="J291" s="35" t="str">
        <f>TRIM(data__2[[#This Row],[Month (old)]])</f>
        <v>Jul</v>
      </c>
      <c r="K291" s="35" t="str">
        <f>TRIM(data__2[[#This Row],[Symbol (old)]])</f>
        <v>BTCUSD</v>
      </c>
      <c r="L291" s="36" t="str">
        <f>LEFT(data__2[[#This Row],[Month (old2)]], 3)</f>
        <v>Jul</v>
      </c>
    </row>
    <row r="292" spans="2:12" x14ac:dyDescent="0.25">
      <c r="B292" s="33">
        <v>44391</v>
      </c>
      <c r="C292" s="34" t="s">
        <v>23</v>
      </c>
      <c r="D292" s="34" t="s">
        <v>18</v>
      </c>
      <c r="E292" s="13">
        <v>438011</v>
      </c>
      <c r="F292" s="13">
        <v>439368</v>
      </c>
      <c r="G292" s="13">
        <v>436236</v>
      </c>
      <c r="H292" s="13">
        <v>437430</v>
      </c>
      <c r="I292" s="13">
        <v>321387000000</v>
      </c>
      <c r="J292" s="35" t="str">
        <f>TRIM(data__2[[#This Row],[Month (old)]])</f>
        <v>July</v>
      </c>
      <c r="K292" s="35" t="str">
        <f>TRIM(data__2[[#This Row],[Symbol (old)]])</f>
        <v>SP500</v>
      </c>
      <c r="L292" s="36" t="str">
        <f>LEFT(data__2[[#This Row],[Month (old2)]], 3)</f>
        <v>Jul</v>
      </c>
    </row>
    <row r="293" spans="2:12" x14ac:dyDescent="0.25">
      <c r="B293" s="33">
        <v>44391</v>
      </c>
      <c r="C293" s="34" t="s">
        <v>11</v>
      </c>
      <c r="D293" s="34" t="s">
        <v>5</v>
      </c>
      <c r="E293" s="13">
        <v>3185369</v>
      </c>
      <c r="F293" s="13">
        <v>3318999</v>
      </c>
      <c r="G293" s="13">
        <v>3160159</v>
      </c>
      <c r="H293" s="13">
        <v>3267154</v>
      </c>
      <c r="I293" s="13">
        <v>108312</v>
      </c>
      <c r="J293" s="35" t="str">
        <f>TRIM(data__2[[#This Row],[Month (old)]])</f>
        <v>Jul</v>
      </c>
      <c r="K293" s="35" t="str">
        <f>TRIM(data__2[[#This Row],[Symbol (old)]])</f>
        <v>BTCUSD</v>
      </c>
      <c r="L293" s="36" t="str">
        <f>LEFT(data__2[[#This Row],[Month (old2)]], 3)</f>
        <v>Jul</v>
      </c>
    </row>
    <row r="294" spans="2:12" x14ac:dyDescent="0.25">
      <c r="B294" s="33">
        <v>44390</v>
      </c>
      <c r="C294" s="34" t="s">
        <v>23</v>
      </c>
      <c r="D294" s="34" t="s">
        <v>18</v>
      </c>
      <c r="E294" s="13">
        <v>438107</v>
      </c>
      <c r="F294" s="13">
        <v>439237</v>
      </c>
      <c r="G294" s="13">
        <v>436692</v>
      </c>
      <c r="H294" s="13">
        <v>436921</v>
      </c>
      <c r="I294" s="13">
        <v>316690000000</v>
      </c>
      <c r="J294" s="35" t="str">
        <f>TRIM(data__2[[#This Row],[Month (old)]])</f>
        <v>July</v>
      </c>
      <c r="K294" s="35" t="str">
        <f>TRIM(data__2[[#This Row],[Symbol (old)]])</f>
        <v>SP500</v>
      </c>
      <c r="L294" s="36" t="str">
        <f>LEFT(data__2[[#This Row],[Month (old2)]], 3)</f>
        <v>Jul</v>
      </c>
    </row>
    <row r="295" spans="2:12" x14ac:dyDescent="0.25">
      <c r="B295" s="33">
        <v>44390</v>
      </c>
      <c r="C295" s="34" t="s">
        <v>11</v>
      </c>
      <c r="D295" s="34" t="s">
        <v>5</v>
      </c>
      <c r="E295" s="13">
        <v>3308726</v>
      </c>
      <c r="F295" s="13">
        <v>3333471</v>
      </c>
      <c r="G295" s="13">
        <v>3166101</v>
      </c>
      <c r="H295" s="13">
        <v>3185369</v>
      </c>
      <c r="I295" s="13">
        <v>128207</v>
      </c>
      <c r="J295" s="35" t="str">
        <f>TRIM(data__2[[#This Row],[Month (old)]])</f>
        <v>Jul</v>
      </c>
      <c r="K295" s="35" t="str">
        <f>TRIM(data__2[[#This Row],[Symbol (old)]])</f>
        <v>BTCUSD</v>
      </c>
      <c r="L295" s="36" t="str">
        <f>LEFT(data__2[[#This Row],[Month (old2)]], 3)</f>
        <v>Jul</v>
      </c>
    </row>
    <row r="296" spans="2:12" x14ac:dyDescent="0.25">
      <c r="B296" s="33">
        <v>44389</v>
      </c>
      <c r="C296" s="34" t="s">
        <v>23</v>
      </c>
      <c r="D296" s="34" t="s">
        <v>18</v>
      </c>
      <c r="E296" s="13">
        <v>437241</v>
      </c>
      <c r="F296" s="13">
        <v>438668</v>
      </c>
      <c r="G296" s="13">
        <v>436403</v>
      </c>
      <c r="H296" s="13">
        <v>438463</v>
      </c>
      <c r="I296" s="13">
        <v>298398000000</v>
      </c>
      <c r="J296" s="35" t="str">
        <f>TRIM(data__2[[#This Row],[Month (old)]])</f>
        <v>July</v>
      </c>
      <c r="K296" s="35" t="str">
        <f>TRIM(data__2[[#This Row],[Symbol (old)]])</f>
        <v>SP500</v>
      </c>
      <c r="L296" s="36" t="str">
        <f>LEFT(data__2[[#This Row],[Month (old2)]], 3)</f>
        <v>Jul</v>
      </c>
    </row>
    <row r="297" spans="2:12" x14ac:dyDescent="0.25">
      <c r="B297" s="33">
        <v>44389</v>
      </c>
      <c r="C297" s="34" t="s">
        <v>11</v>
      </c>
      <c r="D297" s="34" t="s">
        <v>5</v>
      </c>
      <c r="E297" s="13">
        <v>3445239</v>
      </c>
      <c r="F297" s="13">
        <v>3467021</v>
      </c>
      <c r="G297" s="13">
        <v>3266989</v>
      </c>
      <c r="H297" s="13">
        <v>3308726</v>
      </c>
      <c r="I297" s="13">
        <v>132229</v>
      </c>
      <c r="J297" s="35" t="str">
        <f>TRIM(data__2[[#This Row],[Month (old)]])</f>
        <v>Jul</v>
      </c>
      <c r="K297" s="35" t="str">
        <f>TRIM(data__2[[#This Row],[Symbol (old)]])</f>
        <v>BTCUSD</v>
      </c>
      <c r="L297" s="36" t="str">
        <f>LEFT(data__2[[#This Row],[Month (old2)]], 3)</f>
        <v>Jul</v>
      </c>
    </row>
    <row r="298" spans="2:12" x14ac:dyDescent="0.25">
      <c r="B298" s="33">
        <v>44388</v>
      </c>
      <c r="C298" s="34" t="s">
        <v>11</v>
      </c>
      <c r="D298" s="34" t="s">
        <v>5</v>
      </c>
      <c r="E298" s="13">
        <v>3342084</v>
      </c>
      <c r="F298" s="13">
        <v>3460200</v>
      </c>
      <c r="G298" s="13">
        <v>3333301</v>
      </c>
      <c r="H298" s="13">
        <v>3445239</v>
      </c>
      <c r="I298" s="13">
        <v>81686</v>
      </c>
      <c r="J298" s="35" t="str">
        <f>TRIM(data__2[[#This Row],[Month (old)]])</f>
        <v>Jul</v>
      </c>
      <c r="K298" s="35" t="str">
        <f>TRIM(data__2[[#This Row],[Symbol (old)]])</f>
        <v>BTCUSD</v>
      </c>
      <c r="L298" s="36" t="str">
        <f>LEFT(data__2[[#This Row],[Month (old2)]], 3)</f>
        <v>Jul</v>
      </c>
    </row>
    <row r="299" spans="2:12" x14ac:dyDescent="0.25">
      <c r="B299" s="33">
        <v>44387</v>
      </c>
      <c r="C299" s="34" t="s">
        <v>11</v>
      </c>
      <c r="D299" s="34" t="s">
        <v>5</v>
      </c>
      <c r="E299" s="13">
        <v>3379981</v>
      </c>
      <c r="F299" s="13">
        <v>3419526</v>
      </c>
      <c r="G299" s="13">
        <v>3304600</v>
      </c>
      <c r="H299" s="13">
        <v>3342084</v>
      </c>
      <c r="I299" s="13">
        <v>80355</v>
      </c>
      <c r="J299" s="35" t="str">
        <f>TRIM(data__2[[#This Row],[Month (old)]])</f>
        <v>Jul</v>
      </c>
      <c r="K299" s="35" t="str">
        <f>TRIM(data__2[[#This Row],[Symbol (old)]])</f>
        <v>BTCUSD</v>
      </c>
      <c r="L299" s="36" t="str">
        <f>LEFT(data__2[[#This Row],[Month (old2)]], 3)</f>
        <v>Jul</v>
      </c>
    </row>
    <row r="300" spans="2:12" x14ac:dyDescent="0.25">
      <c r="B300" s="33">
        <v>44386</v>
      </c>
      <c r="C300" s="34" t="s">
        <v>23</v>
      </c>
      <c r="D300" s="34" t="s">
        <v>18</v>
      </c>
      <c r="E300" s="13">
        <v>432938</v>
      </c>
      <c r="F300" s="13">
        <v>437160</v>
      </c>
      <c r="G300" s="13">
        <v>432938</v>
      </c>
      <c r="H300" s="13">
        <v>436955</v>
      </c>
      <c r="I300" s="13">
        <v>273828000000</v>
      </c>
      <c r="J300" s="35" t="str">
        <f>TRIM(data__2[[#This Row],[Month (old)]])</f>
        <v>July</v>
      </c>
      <c r="K300" s="35" t="str">
        <f>TRIM(data__2[[#This Row],[Symbol (old)]])</f>
        <v>SP500</v>
      </c>
      <c r="L300" s="36" t="str">
        <f>LEFT(data__2[[#This Row],[Month (old2)]], 3)</f>
        <v>Jul</v>
      </c>
    </row>
    <row r="301" spans="2:12" x14ac:dyDescent="0.25">
      <c r="B301" s="33">
        <v>44386</v>
      </c>
      <c r="C301" s="34" t="s">
        <v>11</v>
      </c>
      <c r="D301" s="34" t="s">
        <v>5</v>
      </c>
      <c r="E301" s="13">
        <v>3295475</v>
      </c>
      <c r="F301" s="13">
        <v>3426253</v>
      </c>
      <c r="G301" s="13">
        <v>3262574</v>
      </c>
      <c r="H301" s="13">
        <v>3379981</v>
      </c>
      <c r="I301" s="13">
        <v>127326</v>
      </c>
      <c r="J301" s="35" t="str">
        <f>TRIM(data__2[[#This Row],[Month (old)]])</f>
        <v>Jul</v>
      </c>
      <c r="K301" s="35" t="str">
        <f>TRIM(data__2[[#This Row],[Symbol (old)]])</f>
        <v>BTCUSD</v>
      </c>
      <c r="L301" s="36" t="str">
        <f>LEFT(data__2[[#This Row],[Month (old2)]], 3)</f>
        <v>Jul</v>
      </c>
    </row>
    <row r="302" spans="2:12" x14ac:dyDescent="0.25">
      <c r="B302" s="33">
        <v>44385</v>
      </c>
      <c r="C302" s="34" t="s">
        <v>23</v>
      </c>
      <c r="D302" s="34" t="s">
        <v>18</v>
      </c>
      <c r="E302" s="13">
        <v>432107</v>
      </c>
      <c r="F302" s="13">
        <v>433088</v>
      </c>
      <c r="G302" s="13">
        <v>428937</v>
      </c>
      <c r="H302" s="13">
        <v>432082</v>
      </c>
      <c r="I302" s="13">
        <v>339378000000</v>
      </c>
      <c r="J302" s="35" t="str">
        <f>TRIM(data__2[[#This Row],[Month (old)]])</f>
        <v>July</v>
      </c>
      <c r="K302" s="35" t="str">
        <f>TRIM(data__2[[#This Row],[Symbol (old)]])</f>
        <v>SP500</v>
      </c>
      <c r="L302" s="36" t="str">
        <f>LEFT(data__2[[#This Row],[Month (old2)]], 3)</f>
        <v>Jul</v>
      </c>
    </row>
    <row r="303" spans="2:12" x14ac:dyDescent="0.25">
      <c r="B303" s="33">
        <v>44385</v>
      </c>
      <c r="C303" s="34" t="s">
        <v>11</v>
      </c>
      <c r="D303" s="34" t="s">
        <v>5</v>
      </c>
      <c r="E303" s="13">
        <v>3333700</v>
      </c>
      <c r="F303" s="13">
        <v>3349324</v>
      </c>
      <c r="G303" s="13">
        <v>3210100</v>
      </c>
      <c r="H303" s="13">
        <v>3295475</v>
      </c>
      <c r="I303" s="13">
        <v>206301</v>
      </c>
      <c r="J303" s="35" t="str">
        <f>TRIM(data__2[[#This Row],[Month (old)]])</f>
        <v>Jul</v>
      </c>
      <c r="K303" s="35" t="str">
        <f>TRIM(data__2[[#This Row],[Symbol (old)]])</f>
        <v>BTCUSD</v>
      </c>
      <c r="L303" s="36" t="str">
        <f>LEFT(data__2[[#This Row],[Month (old2)]], 3)</f>
        <v>Jul</v>
      </c>
    </row>
    <row r="304" spans="2:12" x14ac:dyDescent="0.25">
      <c r="B304" s="33">
        <v>44384</v>
      </c>
      <c r="C304" s="34" t="s">
        <v>23</v>
      </c>
      <c r="D304" s="34" t="s">
        <v>18</v>
      </c>
      <c r="E304" s="13">
        <v>435101</v>
      </c>
      <c r="F304" s="13">
        <v>436188</v>
      </c>
      <c r="G304" s="13">
        <v>432979</v>
      </c>
      <c r="H304" s="13">
        <v>435813</v>
      </c>
      <c r="I304" s="13">
        <v>324390000000</v>
      </c>
      <c r="J304" s="35" t="str">
        <f>TRIM(data__2[[#This Row],[Month (old)]])</f>
        <v>July</v>
      </c>
      <c r="K304" s="35" t="str">
        <f>TRIM(data__2[[#This Row],[Symbol (old)]])</f>
        <v>SP500</v>
      </c>
      <c r="L304" s="36" t="str">
        <f>LEFT(data__2[[#This Row],[Month (old2)]], 3)</f>
        <v>Jul</v>
      </c>
    </row>
    <row r="305" spans="2:12" x14ac:dyDescent="0.25">
      <c r="B305" s="33">
        <v>44384</v>
      </c>
      <c r="C305" s="34" t="s">
        <v>11</v>
      </c>
      <c r="D305" s="34" t="s">
        <v>5</v>
      </c>
      <c r="E305" s="13">
        <v>3446535</v>
      </c>
      <c r="F305" s="13">
        <v>3509828</v>
      </c>
      <c r="G305" s="13">
        <v>3309464</v>
      </c>
      <c r="H305" s="13">
        <v>3333700</v>
      </c>
      <c r="I305" s="13">
        <v>148576</v>
      </c>
      <c r="J305" s="35" t="str">
        <f>TRIM(data__2[[#This Row],[Month (old)]])</f>
        <v>Jul</v>
      </c>
      <c r="K305" s="35" t="str">
        <f>TRIM(data__2[[#This Row],[Symbol (old)]])</f>
        <v>BTCUSD</v>
      </c>
      <c r="L305" s="36" t="str">
        <f>LEFT(data__2[[#This Row],[Month (old2)]], 3)</f>
        <v>Jul</v>
      </c>
    </row>
    <row r="306" spans="2:12" x14ac:dyDescent="0.25">
      <c r="B306" s="33">
        <v>44383</v>
      </c>
      <c r="C306" s="34" t="s">
        <v>23</v>
      </c>
      <c r="D306" s="34" t="s">
        <v>18</v>
      </c>
      <c r="E306" s="13">
        <v>435646</v>
      </c>
      <c r="F306" s="13">
        <v>435646</v>
      </c>
      <c r="G306" s="13">
        <v>431437</v>
      </c>
      <c r="H306" s="13">
        <v>434354</v>
      </c>
      <c r="I306" s="13">
        <v>343790000000</v>
      </c>
      <c r="J306" s="35" t="str">
        <f>TRIM(data__2[[#This Row],[Month (old)]])</f>
        <v>July</v>
      </c>
      <c r="K306" s="35" t="str">
        <f>TRIM(data__2[[#This Row],[Symbol (old)]])</f>
        <v>SP500</v>
      </c>
      <c r="L306" s="36" t="str">
        <f>LEFT(data__2[[#This Row],[Month (old2)]], 3)</f>
        <v>Jul</v>
      </c>
    </row>
    <row r="307" spans="2:12" x14ac:dyDescent="0.25">
      <c r="B307" s="33">
        <v>44383</v>
      </c>
      <c r="C307" s="34" t="s">
        <v>11</v>
      </c>
      <c r="D307" s="34" t="s">
        <v>5</v>
      </c>
      <c r="E307" s="13">
        <v>3394222</v>
      </c>
      <c r="F307" s="13">
        <v>3511432</v>
      </c>
      <c r="G307" s="13">
        <v>3353040</v>
      </c>
      <c r="H307" s="13">
        <v>3446535</v>
      </c>
      <c r="I307" s="13">
        <v>203950</v>
      </c>
      <c r="J307" s="35" t="str">
        <f>TRIM(data__2[[#This Row],[Month (old)]])</f>
        <v>Jul</v>
      </c>
      <c r="K307" s="35" t="str">
        <f>TRIM(data__2[[#This Row],[Symbol (old)]])</f>
        <v>BTCUSD</v>
      </c>
      <c r="L307" s="36" t="str">
        <f>LEFT(data__2[[#This Row],[Month (old2)]], 3)</f>
        <v>Jul</v>
      </c>
    </row>
    <row r="308" spans="2:12" x14ac:dyDescent="0.25">
      <c r="B308" s="33">
        <v>44382</v>
      </c>
      <c r="C308" s="34" t="s">
        <v>11</v>
      </c>
      <c r="D308" s="34" t="s">
        <v>5</v>
      </c>
      <c r="E308" s="13">
        <v>3436084</v>
      </c>
      <c r="F308" s="13">
        <v>3455972</v>
      </c>
      <c r="G308" s="13">
        <v>3310000</v>
      </c>
      <c r="H308" s="13">
        <v>3394222</v>
      </c>
      <c r="I308" s="13">
        <v>132366</v>
      </c>
      <c r="J308" s="35" t="str">
        <f>TRIM(data__2[[#This Row],[Month (old)]])</f>
        <v>Jul</v>
      </c>
      <c r="K308" s="35" t="str">
        <f>TRIM(data__2[[#This Row],[Symbol (old)]])</f>
        <v>BTCUSD</v>
      </c>
      <c r="L308" s="36" t="str">
        <f>LEFT(data__2[[#This Row],[Month (old2)]], 3)</f>
        <v>Jul</v>
      </c>
    </row>
    <row r="309" spans="2:12" x14ac:dyDescent="0.25">
      <c r="B309" s="33">
        <v>44381</v>
      </c>
      <c r="C309" s="34" t="s">
        <v>11</v>
      </c>
      <c r="D309" s="34" t="s">
        <v>5</v>
      </c>
      <c r="E309" s="13">
        <v>3467000</v>
      </c>
      <c r="F309" s="13">
        <v>3598571</v>
      </c>
      <c r="G309" s="13">
        <v>3421129</v>
      </c>
      <c r="H309" s="13">
        <v>3436084</v>
      </c>
      <c r="I309" s="13">
        <v>107360</v>
      </c>
      <c r="J309" s="35" t="str">
        <f>TRIM(data__2[[#This Row],[Month (old)]])</f>
        <v>Jul</v>
      </c>
      <c r="K309" s="35" t="str">
        <f>TRIM(data__2[[#This Row],[Symbol (old)]])</f>
        <v>BTCUSD</v>
      </c>
      <c r="L309" s="36" t="str">
        <f>LEFT(data__2[[#This Row],[Month (old2)]], 3)</f>
        <v>Jul</v>
      </c>
    </row>
    <row r="310" spans="2:12" x14ac:dyDescent="0.25">
      <c r="B310" s="33">
        <v>44380</v>
      </c>
      <c r="C310" s="34" t="s">
        <v>11</v>
      </c>
      <c r="D310" s="34" t="s">
        <v>5</v>
      </c>
      <c r="E310" s="13">
        <v>3354048</v>
      </c>
      <c r="F310" s="13">
        <v>3494256</v>
      </c>
      <c r="G310" s="13">
        <v>3346662</v>
      </c>
      <c r="H310" s="13">
        <v>3467000</v>
      </c>
      <c r="I310" s="13">
        <v>64793</v>
      </c>
      <c r="J310" s="35" t="str">
        <f>TRIM(data__2[[#This Row],[Month (old)]])</f>
        <v>Jul</v>
      </c>
      <c r="K310" s="35" t="str">
        <f>TRIM(data__2[[#This Row],[Symbol (old)]])</f>
        <v>BTCUSD</v>
      </c>
      <c r="L310" s="36" t="str">
        <f>LEFT(data__2[[#This Row],[Month (old2)]], 3)</f>
        <v>Jul</v>
      </c>
    </row>
    <row r="311" spans="2:12" x14ac:dyDescent="0.25">
      <c r="B311" s="33">
        <v>44379</v>
      </c>
      <c r="C311" s="34" t="s">
        <v>23</v>
      </c>
      <c r="D311" s="34" t="s">
        <v>18</v>
      </c>
      <c r="E311" s="13">
        <v>432660</v>
      </c>
      <c r="F311" s="13">
        <v>435543</v>
      </c>
      <c r="G311" s="13">
        <v>432660</v>
      </c>
      <c r="H311" s="13">
        <v>435234</v>
      </c>
      <c r="I311" s="13">
        <v>262855000000</v>
      </c>
      <c r="J311" s="35" t="str">
        <f>TRIM(data__2[[#This Row],[Month (old)]])</f>
        <v>July</v>
      </c>
      <c r="K311" s="35" t="str">
        <f>TRIM(data__2[[#This Row],[Symbol (old)]])</f>
        <v>SP500</v>
      </c>
      <c r="L311" s="36" t="str">
        <f>LEFT(data__2[[#This Row],[Month (old2)]], 3)</f>
        <v>Jul</v>
      </c>
    </row>
    <row r="312" spans="2:12" x14ac:dyDescent="0.25">
      <c r="B312" s="33">
        <v>44379</v>
      </c>
      <c r="C312" s="34" t="s">
        <v>11</v>
      </c>
      <c r="D312" s="34" t="s">
        <v>5</v>
      </c>
      <c r="E312" s="13">
        <v>3293344</v>
      </c>
      <c r="F312" s="13">
        <v>3392645</v>
      </c>
      <c r="G312" s="13">
        <v>3270000</v>
      </c>
      <c r="H312" s="13">
        <v>3354048</v>
      </c>
      <c r="I312" s="13">
        <v>132123</v>
      </c>
      <c r="J312" s="35" t="str">
        <f>TRIM(data__2[[#This Row],[Month (old)]])</f>
        <v>Jul</v>
      </c>
      <c r="K312" s="35" t="str">
        <f>TRIM(data__2[[#This Row],[Symbol (old)]])</f>
        <v>BTCUSD</v>
      </c>
      <c r="L312" s="36" t="str">
        <f>LEFT(data__2[[#This Row],[Month (old2)]], 3)</f>
        <v>Jul</v>
      </c>
    </row>
    <row r="313" spans="2:12" x14ac:dyDescent="0.25">
      <c r="B313" s="33">
        <v>44378</v>
      </c>
      <c r="C313" s="34" t="s">
        <v>23</v>
      </c>
      <c r="D313" s="34" t="s">
        <v>18</v>
      </c>
      <c r="E313" s="13">
        <v>430073</v>
      </c>
      <c r="F313" s="13">
        <v>432066</v>
      </c>
      <c r="G313" s="13">
        <v>430073</v>
      </c>
      <c r="H313" s="13">
        <v>431994</v>
      </c>
      <c r="I313" s="13">
        <v>307758000000</v>
      </c>
      <c r="J313" s="35" t="str">
        <f>TRIM(data__2[[#This Row],[Month (old)]])</f>
        <v>July</v>
      </c>
      <c r="K313" s="35" t="str">
        <f>TRIM(data__2[[#This Row],[Symbol (old)]])</f>
        <v>SP500</v>
      </c>
      <c r="L313" s="36" t="str">
        <f>LEFT(data__2[[#This Row],[Month (old2)]], 3)</f>
        <v>Jul</v>
      </c>
    </row>
    <row r="314" spans="2:12" x14ac:dyDescent="0.25">
      <c r="B314" s="33">
        <v>44378</v>
      </c>
      <c r="C314" s="34" t="s">
        <v>11</v>
      </c>
      <c r="D314" s="34" t="s">
        <v>5</v>
      </c>
      <c r="E314" s="13">
        <v>3413204</v>
      </c>
      <c r="F314" s="13">
        <v>3447555</v>
      </c>
      <c r="G314" s="13">
        <v>3272269</v>
      </c>
      <c r="H314" s="13">
        <v>3293344</v>
      </c>
      <c r="I314" s="13">
        <v>224046</v>
      </c>
      <c r="J314" s="35" t="str">
        <f>TRIM(data__2[[#This Row],[Month (old)]])</f>
        <v>Jul</v>
      </c>
      <c r="K314" s="35" t="str">
        <f>TRIM(data__2[[#This Row],[Symbol (old)]])</f>
        <v>BTCUSD</v>
      </c>
      <c r="L314" s="36" t="str">
        <f>LEFT(data__2[[#This Row],[Month (old2)]], 3)</f>
        <v>Jul</v>
      </c>
    </row>
    <row r="315" spans="2:12" x14ac:dyDescent="0.25">
      <c r="B315" s="33">
        <v>44377</v>
      </c>
      <c r="C315" s="34" t="s">
        <v>22</v>
      </c>
      <c r="D315" s="34" t="s">
        <v>18</v>
      </c>
      <c r="E315" s="13">
        <v>429065</v>
      </c>
      <c r="F315" s="13">
        <v>430243</v>
      </c>
      <c r="G315" s="13">
        <v>428796</v>
      </c>
      <c r="H315" s="13">
        <v>429750</v>
      </c>
      <c r="I315" s="13">
        <v>368788000000</v>
      </c>
      <c r="J315" s="35" t="str">
        <f>TRIM(data__2[[#This Row],[Month (old)]])</f>
        <v>June</v>
      </c>
      <c r="K315" s="35" t="str">
        <f>TRIM(data__2[[#This Row],[Symbol (old)]])</f>
        <v>SP500</v>
      </c>
      <c r="L315" s="36" t="str">
        <f>LEFT(data__2[[#This Row],[Month (old2)]], 3)</f>
        <v>Jun</v>
      </c>
    </row>
    <row r="316" spans="2:12" x14ac:dyDescent="0.25">
      <c r="B316" s="33">
        <v>44377</v>
      </c>
      <c r="C316" s="34" t="s">
        <v>10</v>
      </c>
      <c r="D316" s="34" t="s">
        <v>5</v>
      </c>
      <c r="E316" s="13">
        <v>3509544</v>
      </c>
      <c r="F316" s="13">
        <v>3533325</v>
      </c>
      <c r="G316" s="13">
        <v>3405000</v>
      </c>
      <c r="H316" s="13">
        <v>3413204</v>
      </c>
      <c r="I316" s="13">
        <v>203163</v>
      </c>
      <c r="J316" s="35" t="str">
        <f>TRIM(data__2[[#This Row],[Month (old)]])</f>
        <v>Jun</v>
      </c>
      <c r="K316" s="35" t="str">
        <f>TRIM(data__2[[#This Row],[Symbol (old)]])</f>
        <v>BTCUSD</v>
      </c>
      <c r="L316" s="36" t="str">
        <f>LEFT(data__2[[#This Row],[Month (old2)]], 3)</f>
        <v>Jun</v>
      </c>
    </row>
    <row r="317" spans="2:12" x14ac:dyDescent="0.25">
      <c r="B317" s="33">
        <v>44376</v>
      </c>
      <c r="C317" s="34" t="s">
        <v>22</v>
      </c>
      <c r="D317" s="34" t="s">
        <v>18</v>
      </c>
      <c r="E317" s="13">
        <v>429321</v>
      </c>
      <c r="F317" s="13">
        <v>430052</v>
      </c>
      <c r="G317" s="13">
        <v>428704</v>
      </c>
      <c r="H317" s="13">
        <v>429180</v>
      </c>
      <c r="I317" s="13">
        <v>304956000000</v>
      </c>
      <c r="J317" s="35" t="str">
        <f>TRIM(data__2[[#This Row],[Month (old)]])</f>
        <v>June</v>
      </c>
      <c r="K317" s="35" t="str">
        <f>TRIM(data__2[[#This Row],[Symbol (old)]])</f>
        <v>SP500</v>
      </c>
      <c r="L317" s="36" t="str">
        <f>LEFT(data__2[[#This Row],[Month (old2)]], 3)</f>
        <v>Jun</v>
      </c>
    </row>
    <row r="318" spans="2:12" x14ac:dyDescent="0.25">
      <c r="B318" s="33">
        <v>44376</v>
      </c>
      <c r="C318" s="34" t="s">
        <v>10</v>
      </c>
      <c r="D318" s="34" t="s">
        <v>5</v>
      </c>
      <c r="E318" s="13">
        <v>3459162</v>
      </c>
      <c r="F318" s="13">
        <v>3666180</v>
      </c>
      <c r="G318" s="13">
        <v>3455607</v>
      </c>
      <c r="H318" s="13">
        <v>3509544</v>
      </c>
      <c r="I318" s="13">
        <v>301266</v>
      </c>
      <c r="J318" s="35" t="str">
        <f>TRIM(data__2[[#This Row],[Month (old)]])</f>
        <v>Jun</v>
      </c>
      <c r="K318" s="35" t="str">
        <f>TRIM(data__2[[#This Row],[Symbol (old)]])</f>
        <v>BTCUSD</v>
      </c>
      <c r="L318" s="36" t="str">
        <f>LEFT(data__2[[#This Row],[Month (old2)]], 3)</f>
        <v>Jun</v>
      </c>
    </row>
    <row r="319" spans="2:12" x14ac:dyDescent="0.25">
      <c r="B319" s="33">
        <v>44375</v>
      </c>
      <c r="C319" s="34" t="s">
        <v>22</v>
      </c>
      <c r="D319" s="34" t="s">
        <v>18</v>
      </c>
      <c r="E319" s="13">
        <v>428490</v>
      </c>
      <c r="F319" s="13">
        <v>429214</v>
      </c>
      <c r="G319" s="13">
        <v>427467</v>
      </c>
      <c r="H319" s="13">
        <v>429061</v>
      </c>
      <c r="I319" s="13">
        <v>341561000000</v>
      </c>
      <c r="J319" s="35" t="str">
        <f>TRIM(data__2[[#This Row],[Month (old)]])</f>
        <v>June</v>
      </c>
      <c r="K319" s="35" t="str">
        <f>TRIM(data__2[[#This Row],[Symbol (old)]])</f>
        <v>SP500</v>
      </c>
      <c r="L319" s="36" t="str">
        <f>LEFT(data__2[[#This Row],[Month (old2)]], 3)</f>
        <v>Jun</v>
      </c>
    </row>
    <row r="320" spans="2:12" x14ac:dyDescent="0.25">
      <c r="B320" s="33">
        <v>44375</v>
      </c>
      <c r="C320" s="34" t="s">
        <v>10</v>
      </c>
      <c r="D320" s="34" t="s">
        <v>5</v>
      </c>
      <c r="E320" s="13">
        <v>3438862</v>
      </c>
      <c r="F320" s="13">
        <v>3528603</v>
      </c>
      <c r="G320" s="13">
        <v>3388515</v>
      </c>
      <c r="H320" s="13">
        <v>3459162</v>
      </c>
      <c r="I320" s="13">
        <v>292354</v>
      </c>
      <c r="J320" s="35" t="str">
        <f>TRIM(data__2[[#This Row],[Month (old)]])</f>
        <v>Jun</v>
      </c>
      <c r="K320" s="35" t="str">
        <f>TRIM(data__2[[#This Row],[Symbol (old)]])</f>
        <v>BTCUSD</v>
      </c>
      <c r="L320" s="36" t="str">
        <f>LEFT(data__2[[#This Row],[Month (old2)]], 3)</f>
        <v>Jun</v>
      </c>
    </row>
    <row r="321" spans="2:12" x14ac:dyDescent="0.25">
      <c r="B321" s="33">
        <v>44374</v>
      </c>
      <c r="C321" s="34" t="s">
        <v>10</v>
      </c>
      <c r="D321" s="34" t="s">
        <v>5</v>
      </c>
      <c r="E321" s="13">
        <v>3314918</v>
      </c>
      <c r="F321" s="13">
        <v>3498342</v>
      </c>
      <c r="G321" s="13">
        <v>3237405</v>
      </c>
      <c r="H321" s="13">
        <v>3438862</v>
      </c>
      <c r="I321" s="13">
        <v>222939</v>
      </c>
      <c r="J321" s="35" t="str">
        <f>TRIM(data__2[[#This Row],[Month (old)]])</f>
        <v>Jun</v>
      </c>
      <c r="K321" s="35" t="str">
        <f>TRIM(data__2[[#This Row],[Symbol (old)]])</f>
        <v>BTCUSD</v>
      </c>
      <c r="L321" s="36" t="str">
        <f>LEFT(data__2[[#This Row],[Month (old2)]], 3)</f>
        <v>Jun</v>
      </c>
    </row>
    <row r="322" spans="2:12" x14ac:dyDescent="0.25">
      <c r="B322" s="33">
        <v>44373</v>
      </c>
      <c r="C322" s="34" t="s">
        <v>10</v>
      </c>
      <c r="D322" s="34" t="s">
        <v>5</v>
      </c>
      <c r="E322" s="13">
        <v>3198386</v>
      </c>
      <c r="F322" s="13">
        <v>3320959</v>
      </c>
      <c r="G322" s="13">
        <v>3014268</v>
      </c>
      <c r="H322" s="13">
        <v>3314918</v>
      </c>
      <c r="I322" s="13">
        <v>358391</v>
      </c>
      <c r="J322" s="35" t="str">
        <f>TRIM(data__2[[#This Row],[Month (old)]])</f>
        <v>Jun</v>
      </c>
      <c r="K322" s="35" t="str">
        <f>TRIM(data__2[[#This Row],[Symbol (old)]])</f>
        <v>BTCUSD</v>
      </c>
      <c r="L322" s="36" t="str">
        <f>LEFT(data__2[[#This Row],[Month (old2)]], 3)</f>
        <v>Jun</v>
      </c>
    </row>
    <row r="323" spans="2:12" x14ac:dyDescent="0.25">
      <c r="B323" s="33">
        <v>44372</v>
      </c>
      <c r="C323" s="34" t="s">
        <v>22</v>
      </c>
      <c r="D323" s="34" t="s">
        <v>18</v>
      </c>
      <c r="E323" s="13">
        <v>427445</v>
      </c>
      <c r="F323" s="13">
        <v>428612</v>
      </c>
      <c r="G323" s="13">
        <v>427116</v>
      </c>
      <c r="H323" s="13">
        <v>428070</v>
      </c>
      <c r="I323" s="13">
        <v>624839000000</v>
      </c>
      <c r="J323" s="35" t="str">
        <f>TRIM(data__2[[#This Row],[Month (old)]])</f>
        <v>June</v>
      </c>
      <c r="K323" s="35" t="str">
        <f>TRIM(data__2[[#This Row],[Symbol (old)]])</f>
        <v>SP500</v>
      </c>
      <c r="L323" s="36" t="str">
        <f>LEFT(data__2[[#This Row],[Month (old2)]], 3)</f>
        <v>Jun</v>
      </c>
    </row>
    <row r="324" spans="2:12" x14ac:dyDescent="0.25">
      <c r="B324" s="33">
        <v>44372</v>
      </c>
      <c r="C324" s="34" t="s">
        <v>10</v>
      </c>
      <c r="D324" s="34" t="s">
        <v>5</v>
      </c>
      <c r="E324" s="13">
        <v>3510000</v>
      </c>
      <c r="F324" s="13">
        <v>3510000</v>
      </c>
      <c r="G324" s="13">
        <v>3130371</v>
      </c>
      <c r="H324" s="13">
        <v>3198386</v>
      </c>
      <c r="I324" s="13">
        <v>368214</v>
      </c>
      <c r="J324" s="35" t="str">
        <f>TRIM(data__2[[#This Row],[Month (old)]])</f>
        <v>Jun</v>
      </c>
      <c r="K324" s="35" t="str">
        <f>TRIM(data__2[[#This Row],[Symbol (old)]])</f>
        <v>BTCUSD</v>
      </c>
      <c r="L324" s="36" t="str">
        <f>LEFT(data__2[[#This Row],[Month (old2)]], 3)</f>
        <v>Jun</v>
      </c>
    </row>
    <row r="325" spans="2:12" x14ac:dyDescent="0.25">
      <c r="B325" s="33">
        <v>44371</v>
      </c>
      <c r="C325" s="34" t="s">
        <v>22</v>
      </c>
      <c r="D325" s="34" t="s">
        <v>18</v>
      </c>
      <c r="E325" s="13">
        <v>425697</v>
      </c>
      <c r="F325" s="13">
        <v>427128</v>
      </c>
      <c r="G325" s="13">
        <v>425697</v>
      </c>
      <c r="H325" s="13">
        <v>426649</v>
      </c>
      <c r="I325" s="13">
        <v>314168000000</v>
      </c>
      <c r="J325" s="35" t="str">
        <f>TRIM(data__2[[#This Row],[Month (old)]])</f>
        <v>June</v>
      </c>
      <c r="K325" s="35" t="str">
        <f>TRIM(data__2[[#This Row],[Symbol (old)]])</f>
        <v>SP500</v>
      </c>
      <c r="L325" s="36" t="str">
        <f>LEFT(data__2[[#This Row],[Month (old2)]], 3)</f>
        <v>Jun</v>
      </c>
    </row>
    <row r="326" spans="2:12" x14ac:dyDescent="0.25">
      <c r="B326" s="33">
        <v>44371</v>
      </c>
      <c r="C326" s="34" t="s">
        <v>10</v>
      </c>
      <c r="D326" s="34" t="s">
        <v>5</v>
      </c>
      <c r="E326" s="13">
        <v>3260696</v>
      </c>
      <c r="F326" s="13">
        <v>3527490</v>
      </c>
      <c r="G326" s="13">
        <v>3231501</v>
      </c>
      <c r="H326" s="13">
        <v>3510000</v>
      </c>
      <c r="I326" s="13">
        <v>225734</v>
      </c>
      <c r="J326" s="35" t="str">
        <f>TRIM(data__2[[#This Row],[Month (old)]])</f>
        <v>Jun</v>
      </c>
      <c r="K326" s="35" t="str">
        <f>TRIM(data__2[[#This Row],[Symbol (old)]])</f>
        <v>BTCUSD</v>
      </c>
      <c r="L326" s="36" t="str">
        <f>LEFT(data__2[[#This Row],[Month (old2)]], 3)</f>
        <v>Jun</v>
      </c>
    </row>
    <row r="327" spans="2:12" x14ac:dyDescent="0.25">
      <c r="B327" s="33">
        <v>44370</v>
      </c>
      <c r="C327" s="34" t="s">
        <v>22</v>
      </c>
      <c r="D327" s="34" t="s">
        <v>18</v>
      </c>
      <c r="E327" s="13">
        <v>424927</v>
      </c>
      <c r="F327" s="13">
        <v>425660</v>
      </c>
      <c r="G327" s="13">
        <v>424143</v>
      </c>
      <c r="H327" s="13">
        <v>424184</v>
      </c>
      <c r="I327" s="13">
        <v>317244000000</v>
      </c>
      <c r="J327" s="35" t="str">
        <f>TRIM(data__2[[#This Row],[Month (old)]])</f>
        <v>June</v>
      </c>
      <c r="K327" s="35" t="str">
        <f>TRIM(data__2[[#This Row],[Symbol (old)]])</f>
        <v>SP500</v>
      </c>
      <c r="L327" s="36" t="str">
        <f>LEFT(data__2[[#This Row],[Month (old2)]], 3)</f>
        <v>Jun</v>
      </c>
    </row>
    <row r="328" spans="2:12" x14ac:dyDescent="0.25">
      <c r="B328" s="33">
        <v>44370</v>
      </c>
      <c r="C328" s="34" t="s">
        <v>10</v>
      </c>
      <c r="D328" s="34" t="s">
        <v>5</v>
      </c>
      <c r="E328" s="13">
        <v>3399288</v>
      </c>
      <c r="F328" s="13">
        <v>3485120</v>
      </c>
      <c r="G328" s="13">
        <v>3235504</v>
      </c>
      <c r="H328" s="13">
        <v>3260696</v>
      </c>
      <c r="I328" s="13">
        <v>341398</v>
      </c>
      <c r="J328" s="35" t="str">
        <f>TRIM(data__2[[#This Row],[Month (old)]])</f>
        <v>Jun</v>
      </c>
      <c r="K328" s="35" t="str">
        <f>TRIM(data__2[[#This Row],[Symbol (old)]])</f>
        <v>BTCUSD</v>
      </c>
      <c r="L328" s="36" t="str">
        <f>LEFT(data__2[[#This Row],[Month (old2)]], 3)</f>
        <v>Jun</v>
      </c>
    </row>
    <row r="329" spans="2:12" x14ac:dyDescent="0.25">
      <c r="B329" s="33">
        <v>44369</v>
      </c>
      <c r="C329" s="34" t="s">
        <v>22</v>
      </c>
      <c r="D329" s="34" t="s">
        <v>18</v>
      </c>
      <c r="E329" s="13">
        <v>422461</v>
      </c>
      <c r="F329" s="13">
        <v>425584</v>
      </c>
      <c r="G329" s="13">
        <v>421727</v>
      </c>
      <c r="H329" s="13">
        <v>424644</v>
      </c>
      <c r="I329" s="13">
        <v>320876000000</v>
      </c>
      <c r="J329" s="35" t="str">
        <f>TRIM(data__2[[#This Row],[Month (old)]])</f>
        <v>June</v>
      </c>
      <c r="K329" s="35" t="str">
        <f>TRIM(data__2[[#This Row],[Symbol (old)]])</f>
        <v>SP500</v>
      </c>
      <c r="L329" s="36" t="str">
        <f>LEFT(data__2[[#This Row],[Month (old2)]], 3)</f>
        <v>Jun</v>
      </c>
    </row>
    <row r="330" spans="2:12" x14ac:dyDescent="0.25">
      <c r="B330" s="33">
        <v>44369</v>
      </c>
      <c r="C330" s="34" t="s">
        <v>10</v>
      </c>
      <c r="D330" s="34" t="s">
        <v>5</v>
      </c>
      <c r="E330" s="13">
        <v>3302977</v>
      </c>
      <c r="F330" s="13">
        <v>3439205</v>
      </c>
      <c r="G330" s="13">
        <v>2880100</v>
      </c>
      <c r="H330" s="13">
        <v>3399288</v>
      </c>
      <c r="I330" s="13">
        <v>1003663</v>
      </c>
      <c r="J330" s="35" t="str">
        <f>TRIM(data__2[[#This Row],[Month (old)]])</f>
        <v>Jun</v>
      </c>
      <c r="K330" s="35" t="str">
        <f>TRIM(data__2[[#This Row],[Symbol (old)]])</f>
        <v>BTCUSD</v>
      </c>
      <c r="L330" s="36" t="str">
        <f>LEFT(data__2[[#This Row],[Month (old2)]], 3)</f>
        <v>Jun</v>
      </c>
    </row>
    <row r="331" spans="2:12" x14ac:dyDescent="0.25">
      <c r="B331" s="33">
        <v>44368</v>
      </c>
      <c r="C331" s="34" t="s">
        <v>22</v>
      </c>
      <c r="D331" s="34" t="s">
        <v>18</v>
      </c>
      <c r="E331" s="13">
        <v>417340</v>
      </c>
      <c r="F331" s="13">
        <v>422624</v>
      </c>
      <c r="G331" s="13">
        <v>417340</v>
      </c>
      <c r="H331" s="13">
        <v>422479</v>
      </c>
      <c r="I331" s="13">
        <v>339174000000</v>
      </c>
      <c r="J331" s="35" t="str">
        <f>TRIM(data__2[[#This Row],[Month (old)]])</f>
        <v>June</v>
      </c>
      <c r="K331" s="35" t="str">
        <f>TRIM(data__2[[#This Row],[Symbol (old)]])</f>
        <v>SP500</v>
      </c>
      <c r="L331" s="36" t="str">
        <f>LEFT(data__2[[#This Row],[Month (old2)]], 3)</f>
        <v>Jun</v>
      </c>
    </row>
    <row r="332" spans="2:12" x14ac:dyDescent="0.25">
      <c r="B332" s="33">
        <v>44368</v>
      </c>
      <c r="C332" s="34" t="s">
        <v>10</v>
      </c>
      <c r="D332" s="34" t="s">
        <v>5</v>
      </c>
      <c r="E332" s="13">
        <v>3462988</v>
      </c>
      <c r="F332" s="13">
        <v>3470268</v>
      </c>
      <c r="G332" s="13">
        <v>3117642</v>
      </c>
      <c r="H332" s="13">
        <v>3302977</v>
      </c>
      <c r="I332" s="13">
        <v>715394</v>
      </c>
      <c r="J332" s="35" t="str">
        <f>TRIM(data__2[[#This Row],[Month (old)]])</f>
        <v>Jun</v>
      </c>
      <c r="K332" s="35" t="str">
        <f>TRIM(data__2[[#This Row],[Symbol (old)]])</f>
        <v>BTCUSD</v>
      </c>
      <c r="L332" s="36" t="str">
        <f>LEFT(data__2[[#This Row],[Month (old2)]], 3)</f>
        <v>Jun</v>
      </c>
    </row>
    <row r="333" spans="2:12" x14ac:dyDescent="0.25">
      <c r="B333" s="33">
        <v>44367</v>
      </c>
      <c r="C333" s="34" t="s">
        <v>10</v>
      </c>
      <c r="D333" s="34" t="s">
        <v>5</v>
      </c>
      <c r="E333" s="13">
        <v>3552066</v>
      </c>
      <c r="F333" s="13">
        <v>3612813</v>
      </c>
      <c r="G333" s="13">
        <v>3333301</v>
      </c>
      <c r="H333" s="13">
        <v>3462988</v>
      </c>
      <c r="I333" s="13">
        <v>281674</v>
      </c>
      <c r="J333" s="35" t="str">
        <f>TRIM(data__2[[#This Row],[Month (old)]])</f>
        <v>Jun</v>
      </c>
      <c r="K333" s="35" t="str">
        <f>TRIM(data__2[[#This Row],[Symbol (old)]])</f>
        <v>BTCUSD</v>
      </c>
      <c r="L333" s="36" t="str">
        <f>LEFT(data__2[[#This Row],[Month (old2)]], 3)</f>
        <v>Jun</v>
      </c>
    </row>
    <row r="334" spans="2:12" x14ac:dyDescent="0.25">
      <c r="B334" s="33">
        <v>44366</v>
      </c>
      <c r="C334" s="34" t="s">
        <v>10</v>
      </c>
      <c r="D334" s="34" t="s">
        <v>5</v>
      </c>
      <c r="E334" s="13">
        <v>3512923</v>
      </c>
      <c r="F334" s="13">
        <v>3646463</v>
      </c>
      <c r="G334" s="13">
        <v>3497025</v>
      </c>
      <c r="H334" s="13">
        <v>3552066</v>
      </c>
      <c r="I334" s="13">
        <v>161101</v>
      </c>
      <c r="J334" s="35" t="str">
        <f>TRIM(data__2[[#This Row],[Month (old)]])</f>
        <v>Jun</v>
      </c>
      <c r="K334" s="35" t="str">
        <f>TRIM(data__2[[#This Row],[Symbol (old)]])</f>
        <v>BTCUSD</v>
      </c>
      <c r="L334" s="36" t="str">
        <f>LEFT(data__2[[#This Row],[Month (old2)]], 3)</f>
        <v>Jun</v>
      </c>
    </row>
    <row r="335" spans="2:12" x14ac:dyDescent="0.25">
      <c r="B335" s="33">
        <v>44365</v>
      </c>
      <c r="C335" s="34" t="s">
        <v>22</v>
      </c>
      <c r="D335" s="34" t="s">
        <v>18</v>
      </c>
      <c r="E335" s="13">
        <v>420478</v>
      </c>
      <c r="F335" s="13">
        <v>420478</v>
      </c>
      <c r="G335" s="13">
        <v>416440</v>
      </c>
      <c r="H335" s="13">
        <v>416645</v>
      </c>
      <c r="I335" s="13">
        <v>608498000000</v>
      </c>
      <c r="J335" s="35" t="str">
        <f>TRIM(data__2[[#This Row],[Month (old)]])</f>
        <v>June</v>
      </c>
      <c r="K335" s="35" t="str">
        <f>TRIM(data__2[[#This Row],[Symbol (old)]])</f>
        <v>SP500</v>
      </c>
      <c r="L335" s="36" t="str">
        <f>LEFT(data__2[[#This Row],[Month (old2)]], 3)</f>
        <v>Jun</v>
      </c>
    </row>
    <row r="336" spans="2:12" x14ac:dyDescent="0.25">
      <c r="B336" s="33">
        <v>44365</v>
      </c>
      <c r="C336" s="34" t="s">
        <v>10</v>
      </c>
      <c r="D336" s="34" t="s">
        <v>5</v>
      </c>
      <c r="E336" s="13">
        <v>3793820</v>
      </c>
      <c r="F336" s="13">
        <v>3812909</v>
      </c>
      <c r="G336" s="13">
        <v>3484533</v>
      </c>
      <c r="H336" s="13">
        <v>3512923</v>
      </c>
      <c r="I336" s="13">
        <v>295868</v>
      </c>
      <c r="J336" s="35" t="str">
        <f>TRIM(data__2[[#This Row],[Month (old)]])</f>
        <v>Jun</v>
      </c>
      <c r="K336" s="35" t="str">
        <f>TRIM(data__2[[#This Row],[Symbol (old)]])</f>
        <v>BTCUSD</v>
      </c>
      <c r="L336" s="36" t="str">
        <f>LEFT(data__2[[#This Row],[Month (old2)]], 3)</f>
        <v>Jun</v>
      </c>
    </row>
    <row r="337" spans="2:12" x14ac:dyDescent="0.25">
      <c r="B337" s="33">
        <v>44364</v>
      </c>
      <c r="C337" s="34" t="s">
        <v>22</v>
      </c>
      <c r="D337" s="34" t="s">
        <v>18</v>
      </c>
      <c r="E337" s="13">
        <v>422037</v>
      </c>
      <c r="F337" s="13">
        <v>423229</v>
      </c>
      <c r="G337" s="13">
        <v>419605</v>
      </c>
      <c r="H337" s="13">
        <v>422186</v>
      </c>
      <c r="I337" s="13">
        <v>395211000000</v>
      </c>
      <c r="J337" s="35" t="str">
        <f>TRIM(data__2[[#This Row],[Month (old)]])</f>
        <v>June</v>
      </c>
      <c r="K337" s="35" t="str">
        <f>TRIM(data__2[[#This Row],[Symbol (old)]])</f>
        <v>SP500</v>
      </c>
      <c r="L337" s="36" t="str">
        <f>LEFT(data__2[[#This Row],[Month (old2)]], 3)</f>
        <v>Jun</v>
      </c>
    </row>
    <row r="338" spans="2:12" x14ac:dyDescent="0.25">
      <c r="B338" s="33">
        <v>44364</v>
      </c>
      <c r="C338" s="34" t="s">
        <v>10</v>
      </c>
      <c r="D338" s="34" t="s">
        <v>5</v>
      </c>
      <c r="E338" s="13">
        <v>3887500</v>
      </c>
      <c r="F338" s="13">
        <v>3957503</v>
      </c>
      <c r="G338" s="13">
        <v>3722162</v>
      </c>
      <c r="H338" s="13">
        <v>3793820</v>
      </c>
      <c r="I338" s="13">
        <v>252423</v>
      </c>
      <c r="J338" s="35" t="str">
        <f>TRIM(data__2[[#This Row],[Month (old)]])</f>
        <v>Jun</v>
      </c>
      <c r="K338" s="35" t="str">
        <f>TRIM(data__2[[#This Row],[Symbol (old)]])</f>
        <v>BTCUSD</v>
      </c>
      <c r="L338" s="36" t="str">
        <f>LEFT(data__2[[#This Row],[Month (old2)]], 3)</f>
        <v>Jun</v>
      </c>
    </row>
    <row r="339" spans="2:12" x14ac:dyDescent="0.25">
      <c r="B339" s="33">
        <v>44363</v>
      </c>
      <c r="C339" s="34" t="s">
        <v>22</v>
      </c>
      <c r="D339" s="34" t="s">
        <v>18</v>
      </c>
      <c r="E339" s="13">
        <v>424887</v>
      </c>
      <c r="F339" s="13">
        <v>425189</v>
      </c>
      <c r="G339" s="13">
        <v>420245</v>
      </c>
      <c r="H339" s="13">
        <v>422370</v>
      </c>
      <c r="I339" s="13">
        <v>372205000000</v>
      </c>
      <c r="J339" s="35" t="str">
        <f>TRIM(data__2[[#This Row],[Month (old)]])</f>
        <v>June</v>
      </c>
      <c r="K339" s="35" t="str">
        <f>TRIM(data__2[[#This Row],[Symbol (old)]])</f>
        <v>SP500</v>
      </c>
      <c r="L339" s="36" t="str">
        <f>LEFT(data__2[[#This Row],[Month (old2)]], 3)</f>
        <v>Jun</v>
      </c>
    </row>
    <row r="340" spans="2:12" x14ac:dyDescent="0.25">
      <c r="B340" s="33">
        <v>44363</v>
      </c>
      <c r="C340" s="34" t="s">
        <v>10</v>
      </c>
      <c r="D340" s="34" t="s">
        <v>5</v>
      </c>
      <c r="E340" s="13">
        <v>4004369</v>
      </c>
      <c r="F340" s="13">
        <v>4049002</v>
      </c>
      <c r="G340" s="13">
        <v>3805901</v>
      </c>
      <c r="H340" s="13">
        <v>3887500</v>
      </c>
      <c r="I340" s="13">
        <v>278360</v>
      </c>
      <c r="J340" s="35" t="str">
        <f>TRIM(data__2[[#This Row],[Month (old)]])</f>
        <v>Jun</v>
      </c>
      <c r="K340" s="35" t="str">
        <f>TRIM(data__2[[#This Row],[Symbol (old)]])</f>
        <v>BTCUSD</v>
      </c>
      <c r="L340" s="36" t="str">
        <f>LEFT(data__2[[#This Row],[Month (old2)]], 3)</f>
        <v>Jun</v>
      </c>
    </row>
    <row r="341" spans="2:12" x14ac:dyDescent="0.25">
      <c r="B341" s="33">
        <v>44362</v>
      </c>
      <c r="C341" s="34" t="s">
        <v>22</v>
      </c>
      <c r="D341" s="34" t="s">
        <v>18</v>
      </c>
      <c r="E341" s="13">
        <v>425528</v>
      </c>
      <c r="F341" s="13">
        <v>425716</v>
      </c>
      <c r="G341" s="13">
        <v>423835</v>
      </c>
      <c r="H341" s="13">
        <v>424659</v>
      </c>
      <c r="I341" s="13">
        <v>357845000000</v>
      </c>
      <c r="J341" s="35" t="str">
        <f>TRIM(data__2[[#This Row],[Month (old)]])</f>
        <v>June</v>
      </c>
      <c r="K341" s="35" t="str">
        <f>TRIM(data__2[[#This Row],[Symbol (old)]])</f>
        <v>SP500</v>
      </c>
      <c r="L341" s="36" t="str">
        <f>LEFT(data__2[[#This Row],[Month (old2)]], 3)</f>
        <v>Jun</v>
      </c>
    </row>
    <row r="342" spans="2:12" x14ac:dyDescent="0.25">
      <c r="B342" s="33">
        <v>44362</v>
      </c>
      <c r="C342" s="34" t="s">
        <v>10</v>
      </c>
      <c r="D342" s="34" t="s">
        <v>5</v>
      </c>
      <c r="E342" s="13">
        <v>4042938</v>
      </c>
      <c r="F342" s="13">
        <v>4138002</v>
      </c>
      <c r="G342" s="13">
        <v>3950390</v>
      </c>
      <c r="H342" s="13">
        <v>4004369</v>
      </c>
      <c r="I342" s="13">
        <v>268761</v>
      </c>
      <c r="J342" s="35" t="str">
        <f>TRIM(data__2[[#This Row],[Month (old)]])</f>
        <v>Jun</v>
      </c>
      <c r="K342" s="35" t="str">
        <f>TRIM(data__2[[#This Row],[Symbol (old)]])</f>
        <v>BTCUSD</v>
      </c>
      <c r="L342" s="36" t="str">
        <f>LEFT(data__2[[#This Row],[Month (old2)]], 3)</f>
        <v>Jun</v>
      </c>
    </row>
    <row r="343" spans="2:12" x14ac:dyDescent="0.25">
      <c r="B343" s="33">
        <v>44361</v>
      </c>
      <c r="C343" s="34" t="s">
        <v>22</v>
      </c>
      <c r="D343" s="34" t="s">
        <v>18</v>
      </c>
      <c r="E343" s="13">
        <v>424831</v>
      </c>
      <c r="F343" s="13">
        <v>425559</v>
      </c>
      <c r="G343" s="13">
        <v>423407</v>
      </c>
      <c r="H343" s="13">
        <v>425515</v>
      </c>
      <c r="I343" s="13">
        <v>361205000000</v>
      </c>
      <c r="J343" s="35" t="str">
        <f>TRIM(data__2[[#This Row],[Month (old)]])</f>
        <v>June</v>
      </c>
      <c r="K343" s="35" t="str">
        <f>TRIM(data__2[[#This Row],[Symbol (old)]])</f>
        <v>SP500</v>
      </c>
      <c r="L343" s="36" t="str">
        <f>LEFT(data__2[[#This Row],[Month (old2)]], 3)</f>
        <v>Jun</v>
      </c>
    </row>
    <row r="344" spans="2:12" x14ac:dyDescent="0.25">
      <c r="B344" s="33">
        <v>44361</v>
      </c>
      <c r="C344" s="34" t="s">
        <v>10</v>
      </c>
      <c r="D344" s="34" t="s">
        <v>5</v>
      </c>
      <c r="E344" s="13">
        <v>3898850</v>
      </c>
      <c r="F344" s="13">
        <v>4106077</v>
      </c>
      <c r="G344" s="13">
        <v>3880750</v>
      </c>
      <c r="H344" s="13">
        <v>4042938</v>
      </c>
      <c r="I344" s="13">
        <v>271945</v>
      </c>
      <c r="J344" s="35" t="str">
        <f>TRIM(data__2[[#This Row],[Month (old)]])</f>
        <v>Jun</v>
      </c>
      <c r="K344" s="35" t="str">
        <f>TRIM(data__2[[#This Row],[Symbol (old)]])</f>
        <v>BTCUSD</v>
      </c>
      <c r="L344" s="36" t="str">
        <f>LEFT(data__2[[#This Row],[Month (old2)]], 3)</f>
        <v>Jun</v>
      </c>
    </row>
    <row r="345" spans="2:12" x14ac:dyDescent="0.25">
      <c r="B345" s="33">
        <v>44360</v>
      </c>
      <c r="C345" s="34" t="s">
        <v>10</v>
      </c>
      <c r="D345" s="34" t="s">
        <v>5</v>
      </c>
      <c r="E345" s="13">
        <v>3487730</v>
      </c>
      <c r="F345" s="13">
        <v>3981672</v>
      </c>
      <c r="G345" s="13">
        <v>3479266</v>
      </c>
      <c r="H345" s="13">
        <v>3898850</v>
      </c>
      <c r="I345" s="13">
        <v>240683</v>
      </c>
      <c r="J345" s="35" t="str">
        <f>TRIM(data__2[[#This Row],[Month (old)]])</f>
        <v>Jun</v>
      </c>
      <c r="K345" s="35" t="str">
        <f>TRIM(data__2[[#This Row],[Symbol (old)]])</f>
        <v>BTCUSD</v>
      </c>
      <c r="L345" s="36" t="str">
        <f>LEFT(data__2[[#This Row],[Month (old2)]], 3)</f>
        <v>Jun</v>
      </c>
    </row>
    <row r="346" spans="2:12" x14ac:dyDescent="0.25">
      <c r="B346" s="33">
        <v>44359</v>
      </c>
      <c r="C346" s="34" t="s">
        <v>10</v>
      </c>
      <c r="D346" s="34" t="s">
        <v>5</v>
      </c>
      <c r="E346" s="13">
        <v>3559129</v>
      </c>
      <c r="F346" s="13">
        <v>3622280</v>
      </c>
      <c r="G346" s="13">
        <v>3465599</v>
      </c>
      <c r="H346" s="13">
        <v>3487730</v>
      </c>
      <c r="I346" s="13">
        <v>129816</v>
      </c>
      <c r="J346" s="35" t="str">
        <f>TRIM(data__2[[#This Row],[Month (old)]])</f>
        <v>Jun</v>
      </c>
      <c r="K346" s="35" t="str">
        <f>TRIM(data__2[[#This Row],[Symbol (old)]])</f>
        <v>BTCUSD</v>
      </c>
      <c r="L346" s="36" t="str">
        <f>LEFT(data__2[[#This Row],[Month (old2)]], 3)</f>
        <v>Jun</v>
      </c>
    </row>
    <row r="347" spans="2:12" x14ac:dyDescent="0.25">
      <c r="B347" s="33">
        <v>44358</v>
      </c>
      <c r="C347" s="34" t="s">
        <v>22</v>
      </c>
      <c r="D347" s="34" t="s">
        <v>18</v>
      </c>
      <c r="E347" s="13">
        <v>424290</v>
      </c>
      <c r="F347" s="13">
        <v>424838</v>
      </c>
      <c r="G347" s="13">
        <v>423225</v>
      </c>
      <c r="H347" s="13">
        <v>424744</v>
      </c>
      <c r="I347" s="13">
        <v>320428000000</v>
      </c>
      <c r="J347" s="35" t="str">
        <f>TRIM(data__2[[#This Row],[Month (old)]])</f>
        <v>June</v>
      </c>
      <c r="K347" s="35" t="str">
        <f>TRIM(data__2[[#This Row],[Symbol (old)]])</f>
        <v>SP500</v>
      </c>
      <c r="L347" s="36" t="str">
        <f>LEFT(data__2[[#This Row],[Month (old2)]], 3)</f>
        <v>Jun</v>
      </c>
    </row>
    <row r="348" spans="2:12" x14ac:dyDescent="0.25">
      <c r="B348" s="33">
        <v>44358</v>
      </c>
      <c r="C348" s="34" t="s">
        <v>10</v>
      </c>
      <c r="D348" s="34" t="s">
        <v>5</v>
      </c>
      <c r="E348" s="13">
        <v>3678437</v>
      </c>
      <c r="F348" s="13">
        <v>3769000</v>
      </c>
      <c r="G348" s="13">
        <v>3530769</v>
      </c>
      <c r="H348" s="13">
        <v>3559129</v>
      </c>
      <c r="I348" s="13">
        <v>202780</v>
      </c>
      <c r="J348" s="35" t="str">
        <f>TRIM(data__2[[#This Row],[Month (old)]])</f>
        <v>Jun</v>
      </c>
      <c r="K348" s="35" t="str">
        <f>TRIM(data__2[[#This Row],[Symbol (old)]])</f>
        <v>BTCUSD</v>
      </c>
      <c r="L348" s="36" t="str">
        <f>LEFT(data__2[[#This Row],[Month (old2)]], 3)</f>
        <v>Jun</v>
      </c>
    </row>
    <row r="349" spans="2:12" x14ac:dyDescent="0.25">
      <c r="B349" s="33">
        <v>44357</v>
      </c>
      <c r="C349" s="34" t="s">
        <v>22</v>
      </c>
      <c r="D349" s="34" t="s">
        <v>18</v>
      </c>
      <c r="E349" s="13">
        <v>422856</v>
      </c>
      <c r="F349" s="13">
        <v>424974</v>
      </c>
      <c r="G349" s="13">
        <v>422034</v>
      </c>
      <c r="H349" s="13">
        <v>423918</v>
      </c>
      <c r="I349" s="13">
        <v>350248000000</v>
      </c>
      <c r="J349" s="35" t="str">
        <f>TRIM(data__2[[#This Row],[Month (old)]])</f>
        <v>June</v>
      </c>
      <c r="K349" s="35" t="str">
        <f>TRIM(data__2[[#This Row],[Symbol (old)]])</f>
        <v>SP500</v>
      </c>
      <c r="L349" s="36" t="str">
        <f>LEFT(data__2[[#This Row],[Month (old2)]], 3)</f>
        <v>Jun</v>
      </c>
    </row>
    <row r="350" spans="2:12" x14ac:dyDescent="0.25">
      <c r="B350" s="33">
        <v>44357</v>
      </c>
      <c r="C350" s="34" t="s">
        <v>10</v>
      </c>
      <c r="D350" s="34" t="s">
        <v>5</v>
      </c>
      <c r="E350" s="13">
        <v>3698283</v>
      </c>
      <c r="F350" s="13">
        <v>3843702</v>
      </c>
      <c r="G350" s="13">
        <v>3581967</v>
      </c>
      <c r="H350" s="13">
        <v>3678437</v>
      </c>
      <c r="I350" s="13">
        <v>295952</v>
      </c>
      <c r="J350" s="35" t="str">
        <f>TRIM(data__2[[#This Row],[Month (old)]])</f>
        <v>Jun</v>
      </c>
      <c r="K350" s="35" t="str">
        <f>TRIM(data__2[[#This Row],[Symbol (old)]])</f>
        <v>BTCUSD</v>
      </c>
      <c r="L350" s="36" t="str">
        <f>LEFT(data__2[[#This Row],[Month (old2)]], 3)</f>
        <v>Jun</v>
      </c>
    </row>
    <row r="351" spans="2:12" x14ac:dyDescent="0.25">
      <c r="B351" s="33">
        <v>44356</v>
      </c>
      <c r="C351" s="34" t="s">
        <v>22</v>
      </c>
      <c r="D351" s="34" t="s">
        <v>18</v>
      </c>
      <c r="E351" s="13">
        <v>423299</v>
      </c>
      <c r="F351" s="13">
        <v>423709</v>
      </c>
      <c r="G351" s="13">
        <v>421874</v>
      </c>
      <c r="H351" s="13">
        <v>421955</v>
      </c>
      <c r="I351" s="13">
        <v>390287000000</v>
      </c>
      <c r="J351" s="35" t="str">
        <f>TRIM(data__2[[#This Row],[Month (old)]])</f>
        <v>June</v>
      </c>
      <c r="K351" s="35" t="str">
        <f>TRIM(data__2[[#This Row],[Symbol (old)]])</f>
        <v>SP500</v>
      </c>
      <c r="L351" s="36" t="str">
        <f>LEFT(data__2[[#This Row],[Month (old2)]], 3)</f>
        <v>Jun</v>
      </c>
    </row>
    <row r="352" spans="2:12" x14ac:dyDescent="0.25">
      <c r="B352" s="33">
        <v>44356</v>
      </c>
      <c r="C352" s="34" t="s">
        <v>10</v>
      </c>
      <c r="D352" s="34" t="s">
        <v>5</v>
      </c>
      <c r="E352" s="13">
        <v>3289806</v>
      </c>
      <c r="F352" s="13">
        <v>3767660</v>
      </c>
      <c r="G352" s="13">
        <v>3257584</v>
      </c>
      <c r="H352" s="13">
        <v>3698283</v>
      </c>
      <c r="I352" s="13">
        <v>419037</v>
      </c>
      <c r="J352" s="35" t="str">
        <f>TRIM(data__2[[#This Row],[Month (old)]])</f>
        <v>Jun</v>
      </c>
      <c r="K352" s="35" t="str">
        <f>TRIM(data__2[[#This Row],[Symbol (old)]])</f>
        <v>BTCUSD</v>
      </c>
      <c r="L352" s="36" t="str">
        <f>LEFT(data__2[[#This Row],[Month (old2)]], 3)</f>
        <v>Jun</v>
      </c>
    </row>
    <row r="353" spans="2:12" x14ac:dyDescent="0.25">
      <c r="B353" s="33">
        <v>44355</v>
      </c>
      <c r="C353" s="34" t="s">
        <v>22</v>
      </c>
      <c r="D353" s="34" t="s">
        <v>18</v>
      </c>
      <c r="E353" s="13">
        <v>423381</v>
      </c>
      <c r="F353" s="13">
        <v>423674</v>
      </c>
      <c r="G353" s="13">
        <v>420841</v>
      </c>
      <c r="H353" s="13">
        <v>422726</v>
      </c>
      <c r="I353" s="13">
        <v>394387000000</v>
      </c>
      <c r="J353" s="35" t="str">
        <f>TRIM(data__2[[#This Row],[Month (old)]])</f>
        <v>June</v>
      </c>
      <c r="K353" s="35" t="str">
        <f>TRIM(data__2[[#This Row],[Symbol (old)]])</f>
        <v>SP500</v>
      </c>
      <c r="L353" s="36" t="str">
        <f>LEFT(data__2[[#This Row],[Month (old2)]], 3)</f>
        <v>Jun</v>
      </c>
    </row>
    <row r="354" spans="2:12" x14ac:dyDescent="0.25">
      <c r="B354" s="33">
        <v>44355</v>
      </c>
      <c r="C354" s="34" t="s">
        <v>10</v>
      </c>
      <c r="D354" s="34" t="s">
        <v>5</v>
      </c>
      <c r="E354" s="13">
        <v>3284315</v>
      </c>
      <c r="F354" s="13">
        <v>3384146</v>
      </c>
      <c r="G354" s="13">
        <v>3100001</v>
      </c>
      <c r="H354" s="13">
        <v>3289806</v>
      </c>
      <c r="I354" s="13">
        <v>514919</v>
      </c>
      <c r="J354" s="35" t="str">
        <f>TRIM(data__2[[#This Row],[Month (old)]])</f>
        <v>Jun</v>
      </c>
      <c r="K354" s="35" t="str">
        <f>TRIM(data__2[[#This Row],[Symbol (old)]])</f>
        <v>BTCUSD</v>
      </c>
      <c r="L354" s="36" t="str">
        <f>LEFT(data__2[[#This Row],[Month (old2)]], 3)</f>
        <v>Jun</v>
      </c>
    </row>
    <row r="355" spans="2:12" x14ac:dyDescent="0.25">
      <c r="B355" s="33">
        <v>44354</v>
      </c>
      <c r="C355" s="34" t="s">
        <v>22</v>
      </c>
      <c r="D355" s="34" t="s">
        <v>18</v>
      </c>
      <c r="E355" s="13">
        <v>422934</v>
      </c>
      <c r="F355" s="13">
        <v>423234</v>
      </c>
      <c r="G355" s="13">
        <v>421566</v>
      </c>
      <c r="H355" s="13">
        <v>422652</v>
      </c>
      <c r="I355" s="13">
        <v>383557000000</v>
      </c>
      <c r="J355" s="35" t="str">
        <f>TRIM(data__2[[#This Row],[Month (old)]])</f>
        <v>June</v>
      </c>
      <c r="K355" s="35" t="str">
        <f>TRIM(data__2[[#This Row],[Symbol (old)]])</f>
        <v>SP500</v>
      </c>
      <c r="L355" s="36" t="str">
        <f>LEFT(data__2[[#This Row],[Month (old2)]], 3)</f>
        <v>Jun</v>
      </c>
    </row>
    <row r="356" spans="2:12" x14ac:dyDescent="0.25">
      <c r="B356" s="33">
        <v>44354</v>
      </c>
      <c r="C356" s="34" t="s">
        <v>10</v>
      </c>
      <c r="D356" s="34" t="s">
        <v>5</v>
      </c>
      <c r="E356" s="13">
        <v>3639750</v>
      </c>
      <c r="F356" s="13">
        <v>3679803</v>
      </c>
      <c r="G356" s="13">
        <v>3240001</v>
      </c>
      <c r="H356" s="13">
        <v>3284315</v>
      </c>
      <c r="I356" s="13">
        <v>351860</v>
      </c>
      <c r="J356" s="35" t="str">
        <f>TRIM(data__2[[#This Row],[Month (old)]])</f>
        <v>Jun</v>
      </c>
      <c r="K356" s="35" t="str">
        <f>TRIM(data__2[[#This Row],[Symbol (old)]])</f>
        <v>BTCUSD</v>
      </c>
      <c r="L356" s="36" t="str">
        <f>LEFT(data__2[[#This Row],[Month (old2)]], 3)</f>
        <v>Jun</v>
      </c>
    </row>
    <row r="357" spans="2:12" x14ac:dyDescent="0.25">
      <c r="B357" s="33">
        <v>44353</v>
      </c>
      <c r="C357" s="34" t="s">
        <v>10</v>
      </c>
      <c r="D357" s="34" t="s">
        <v>5</v>
      </c>
      <c r="E357" s="13">
        <v>3602516</v>
      </c>
      <c r="F357" s="13">
        <v>3681209</v>
      </c>
      <c r="G357" s="13">
        <v>3525998</v>
      </c>
      <c r="H357" s="13">
        <v>3639750</v>
      </c>
      <c r="I357" s="13">
        <v>100772</v>
      </c>
      <c r="J357" s="35" t="str">
        <f>TRIM(data__2[[#This Row],[Month (old)]])</f>
        <v>Jun</v>
      </c>
      <c r="K357" s="35" t="str">
        <f>TRIM(data__2[[#This Row],[Symbol (old)]])</f>
        <v>BTCUSD</v>
      </c>
      <c r="L357" s="36" t="str">
        <f>LEFT(data__2[[#This Row],[Month (old2)]], 3)</f>
        <v>Jun</v>
      </c>
    </row>
    <row r="358" spans="2:12" x14ac:dyDescent="0.25">
      <c r="B358" s="33">
        <v>44352</v>
      </c>
      <c r="C358" s="34" t="s">
        <v>10</v>
      </c>
      <c r="D358" s="34" t="s">
        <v>5</v>
      </c>
      <c r="E358" s="13">
        <v>3741982</v>
      </c>
      <c r="F358" s="13">
        <v>3791857</v>
      </c>
      <c r="G358" s="13">
        <v>3482000</v>
      </c>
      <c r="H358" s="13">
        <v>3602516</v>
      </c>
      <c r="I358" s="13">
        <v>245443</v>
      </c>
      <c r="J358" s="35" t="str">
        <f>TRIM(data__2[[#This Row],[Month (old)]])</f>
        <v>Jun</v>
      </c>
      <c r="K358" s="35" t="str">
        <f>TRIM(data__2[[#This Row],[Symbol (old)]])</f>
        <v>BTCUSD</v>
      </c>
      <c r="L358" s="36" t="str">
        <f>LEFT(data__2[[#This Row],[Month (old2)]], 3)</f>
        <v>Jun</v>
      </c>
    </row>
    <row r="359" spans="2:12" x14ac:dyDescent="0.25">
      <c r="B359" s="33">
        <v>44351</v>
      </c>
      <c r="C359" s="34" t="s">
        <v>22</v>
      </c>
      <c r="D359" s="34" t="s">
        <v>18</v>
      </c>
      <c r="E359" s="13">
        <v>420605</v>
      </c>
      <c r="F359" s="13">
        <v>423345</v>
      </c>
      <c r="G359" s="13">
        <v>420605</v>
      </c>
      <c r="H359" s="13">
        <v>422989</v>
      </c>
      <c r="I359" s="13">
        <v>348707000000</v>
      </c>
      <c r="J359" s="35" t="str">
        <f>TRIM(data__2[[#This Row],[Month (old)]])</f>
        <v>June</v>
      </c>
      <c r="K359" s="35" t="str">
        <f>TRIM(data__2[[#This Row],[Symbol (old)]])</f>
        <v>SP500</v>
      </c>
      <c r="L359" s="36" t="str">
        <f>LEFT(data__2[[#This Row],[Month (old2)]], 3)</f>
        <v>Jun</v>
      </c>
    </row>
    <row r="360" spans="2:12" x14ac:dyDescent="0.25">
      <c r="B360" s="33">
        <v>44351</v>
      </c>
      <c r="C360" s="34" t="s">
        <v>10</v>
      </c>
      <c r="D360" s="34" t="s">
        <v>5</v>
      </c>
      <c r="E360" s="13">
        <v>3796361</v>
      </c>
      <c r="F360" s="13">
        <v>3796361</v>
      </c>
      <c r="G360" s="13">
        <v>3558082</v>
      </c>
      <c r="H360" s="13">
        <v>3741982</v>
      </c>
      <c r="I360" s="13">
        <v>230076</v>
      </c>
      <c r="J360" s="35" t="str">
        <f>TRIM(data__2[[#This Row],[Month (old)]])</f>
        <v>Jun</v>
      </c>
      <c r="K360" s="35" t="str">
        <f>TRIM(data__2[[#This Row],[Symbol (old)]])</f>
        <v>BTCUSD</v>
      </c>
      <c r="L360" s="36" t="str">
        <f>LEFT(data__2[[#This Row],[Month (old2)]], 3)</f>
        <v>Jun</v>
      </c>
    </row>
    <row r="361" spans="2:12" x14ac:dyDescent="0.25">
      <c r="B361" s="33">
        <v>44350</v>
      </c>
      <c r="C361" s="34" t="s">
        <v>22</v>
      </c>
      <c r="D361" s="34" t="s">
        <v>18</v>
      </c>
      <c r="E361" s="13">
        <v>419143</v>
      </c>
      <c r="F361" s="13">
        <v>420439</v>
      </c>
      <c r="G361" s="13">
        <v>416793</v>
      </c>
      <c r="H361" s="13">
        <v>419285</v>
      </c>
      <c r="I361" s="13">
        <v>457945000000</v>
      </c>
      <c r="J361" s="35" t="str">
        <f>TRIM(data__2[[#This Row],[Month (old)]])</f>
        <v>June</v>
      </c>
      <c r="K361" s="35" t="str">
        <f>TRIM(data__2[[#This Row],[Symbol (old)]])</f>
        <v>SP500</v>
      </c>
      <c r="L361" s="36" t="str">
        <f>LEFT(data__2[[#This Row],[Month (old2)]], 3)</f>
        <v>Jun</v>
      </c>
    </row>
    <row r="362" spans="2:12" x14ac:dyDescent="0.25">
      <c r="B362" s="33">
        <v>44350</v>
      </c>
      <c r="C362" s="34" t="s">
        <v>10</v>
      </c>
      <c r="D362" s="34" t="s">
        <v>5</v>
      </c>
      <c r="E362" s="13">
        <v>3765554</v>
      </c>
      <c r="F362" s="13">
        <v>3948791</v>
      </c>
      <c r="G362" s="13">
        <v>3740000</v>
      </c>
      <c r="H362" s="13">
        <v>3796361</v>
      </c>
      <c r="I362" s="13">
        <v>178628</v>
      </c>
      <c r="J362" s="35" t="str">
        <f>TRIM(data__2[[#This Row],[Month (old)]])</f>
        <v>Jun</v>
      </c>
      <c r="K362" s="35" t="str">
        <f>TRIM(data__2[[#This Row],[Symbol (old)]])</f>
        <v>BTCUSD</v>
      </c>
      <c r="L362" s="36" t="str">
        <f>LEFT(data__2[[#This Row],[Month (old2)]], 3)</f>
        <v>Jun</v>
      </c>
    </row>
    <row r="363" spans="2:12" x14ac:dyDescent="0.25">
      <c r="B363" s="33">
        <v>44349</v>
      </c>
      <c r="C363" s="34" t="s">
        <v>22</v>
      </c>
      <c r="D363" s="34" t="s">
        <v>18</v>
      </c>
      <c r="E363" s="13">
        <v>420682</v>
      </c>
      <c r="F363" s="13">
        <v>421737</v>
      </c>
      <c r="G363" s="13">
        <v>419827</v>
      </c>
      <c r="H363" s="13">
        <v>420812</v>
      </c>
      <c r="I363" s="13">
        <v>486093000000</v>
      </c>
      <c r="J363" s="35" t="str">
        <f>TRIM(data__2[[#This Row],[Month (old)]])</f>
        <v>June</v>
      </c>
      <c r="K363" s="35" t="str">
        <f>TRIM(data__2[[#This Row],[Symbol (old)]])</f>
        <v>SP500</v>
      </c>
      <c r="L363" s="36" t="str">
        <f>LEFT(data__2[[#This Row],[Month (old2)]], 3)</f>
        <v>Jun</v>
      </c>
    </row>
    <row r="364" spans="2:12" x14ac:dyDescent="0.25">
      <c r="B364" s="33">
        <v>44349</v>
      </c>
      <c r="C364" s="34" t="s">
        <v>10</v>
      </c>
      <c r="D364" s="34" t="s">
        <v>5</v>
      </c>
      <c r="E364" s="13">
        <v>3648357</v>
      </c>
      <c r="F364" s="13">
        <v>3825640</v>
      </c>
      <c r="G364" s="13">
        <v>3647897</v>
      </c>
      <c r="H364" s="13">
        <v>3765554</v>
      </c>
      <c r="I364" s="13">
        <v>161275</v>
      </c>
      <c r="J364" s="35" t="str">
        <f>TRIM(data__2[[#This Row],[Month (old)]])</f>
        <v>Jun</v>
      </c>
      <c r="K364" s="35" t="str">
        <f>TRIM(data__2[[#This Row],[Symbol (old)]])</f>
        <v>BTCUSD</v>
      </c>
      <c r="L364" s="36" t="str">
        <f>LEFT(data__2[[#This Row],[Month (old2)]], 3)</f>
        <v>Jun</v>
      </c>
    </row>
    <row r="365" spans="2:12" x14ac:dyDescent="0.25">
      <c r="B365" s="33">
        <v>44348</v>
      </c>
      <c r="C365" s="34" t="s">
        <v>22</v>
      </c>
      <c r="D365" s="34" t="s">
        <v>18</v>
      </c>
      <c r="E365" s="13">
        <v>421652</v>
      </c>
      <c r="F365" s="13">
        <v>423412</v>
      </c>
      <c r="G365" s="13">
        <v>419759</v>
      </c>
      <c r="H365" s="13">
        <v>420204</v>
      </c>
      <c r="I365" s="13">
        <v>412296000000</v>
      </c>
      <c r="J365" s="35" t="str">
        <f>TRIM(data__2[[#This Row],[Month (old)]])</f>
        <v>June</v>
      </c>
      <c r="K365" s="35" t="str">
        <f>TRIM(data__2[[#This Row],[Symbol (old)]])</f>
        <v>SP500</v>
      </c>
      <c r="L365" s="36" t="str">
        <f>LEFT(data__2[[#This Row],[Month (old2)]], 3)</f>
        <v>Jun</v>
      </c>
    </row>
    <row r="366" spans="2:12" x14ac:dyDescent="0.25">
      <c r="B366" s="33">
        <v>44348</v>
      </c>
      <c r="C366" s="34" t="s">
        <v>10</v>
      </c>
      <c r="D366" s="34" t="s">
        <v>5</v>
      </c>
      <c r="E366" s="13">
        <v>3670288</v>
      </c>
      <c r="F366" s="13">
        <v>3744802</v>
      </c>
      <c r="G366" s="13">
        <v>3568700</v>
      </c>
      <c r="H366" s="13">
        <v>3648357</v>
      </c>
      <c r="I366" s="13">
        <v>234726</v>
      </c>
      <c r="J366" s="35" t="str">
        <f>TRIM(data__2[[#This Row],[Month (old)]])</f>
        <v>Jun</v>
      </c>
      <c r="K366" s="35" t="str">
        <f>TRIM(data__2[[#This Row],[Symbol (old)]])</f>
        <v>BTCUSD</v>
      </c>
      <c r="L366" s="36" t="str">
        <f>LEFT(data__2[[#This Row],[Month (old2)]], 3)</f>
        <v>Jun</v>
      </c>
    </row>
    <row r="367" spans="2:12" x14ac:dyDescent="0.25">
      <c r="B367" s="33">
        <v>44347</v>
      </c>
      <c r="C367" s="34" t="s">
        <v>9</v>
      </c>
      <c r="D367" s="34" t="s">
        <v>5</v>
      </c>
      <c r="E367" s="13">
        <v>3453671</v>
      </c>
      <c r="F367" s="13">
        <v>3791287</v>
      </c>
      <c r="G367" s="13">
        <v>3420000</v>
      </c>
      <c r="H367" s="13">
        <v>3670288</v>
      </c>
      <c r="I367" s="13">
        <v>164940</v>
      </c>
      <c r="J367" s="35" t="str">
        <f>TRIM(data__2[[#This Row],[Month (old)]])</f>
        <v>May</v>
      </c>
      <c r="K367" s="35" t="str">
        <f>TRIM(data__2[[#This Row],[Symbol (old)]])</f>
        <v>BTCUSD</v>
      </c>
      <c r="L367" s="36" t="str">
        <f>LEFT(data__2[[#This Row],[Month (old2)]], 3)</f>
        <v>May</v>
      </c>
    </row>
    <row r="368" spans="2:12" x14ac:dyDescent="0.25">
      <c r="B368" s="33">
        <v>44346</v>
      </c>
      <c r="C368" s="34" t="s">
        <v>9</v>
      </c>
      <c r="D368" s="34" t="s">
        <v>5</v>
      </c>
      <c r="E368" s="13">
        <v>3480529</v>
      </c>
      <c r="F368" s="13">
        <v>3652324</v>
      </c>
      <c r="G368" s="13">
        <v>3429801</v>
      </c>
      <c r="H368" s="13">
        <v>3453671</v>
      </c>
      <c r="I368" s="13">
        <v>156238</v>
      </c>
      <c r="J368" s="35" t="str">
        <f>TRIM(data__2[[#This Row],[Month (old)]])</f>
        <v>May</v>
      </c>
      <c r="K368" s="35" t="str">
        <f>TRIM(data__2[[#This Row],[Symbol (old)]])</f>
        <v>BTCUSD</v>
      </c>
      <c r="L368" s="36" t="str">
        <f>LEFT(data__2[[#This Row],[Month (old2)]], 3)</f>
        <v>May</v>
      </c>
    </row>
    <row r="369" spans="2:12" x14ac:dyDescent="0.25">
      <c r="B369" s="33">
        <v>44345</v>
      </c>
      <c r="C369" s="34" t="s">
        <v>9</v>
      </c>
      <c r="D369" s="34" t="s">
        <v>5</v>
      </c>
      <c r="E369" s="13">
        <v>3650331</v>
      </c>
      <c r="F369" s="13">
        <v>3732000</v>
      </c>
      <c r="G369" s="13">
        <v>3341029</v>
      </c>
      <c r="H369" s="13">
        <v>3480529</v>
      </c>
      <c r="I369" s="13">
        <v>221216</v>
      </c>
      <c r="J369" s="35" t="str">
        <f>TRIM(data__2[[#This Row],[Month (old)]])</f>
        <v>May</v>
      </c>
      <c r="K369" s="35" t="str">
        <f>TRIM(data__2[[#This Row],[Symbol (old)]])</f>
        <v>BTCUSD</v>
      </c>
      <c r="L369" s="36" t="str">
        <f>LEFT(data__2[[#This Row],[Month (old2)]], 3)</f>
        <v>May</v>
      </c>
    </row>
    <row r="370" spans="2:12" x14ac:dyDescent="0.25">
      <c r="B370" s="33">
        <v>44344</v>
      </c>
      <c r="C370" s="34" t="s">
        <v>9</v>
      </c>
      <c r="D370" s="34" t="s">
        <v>18</v>
      </c>
      <c r="E370" s="13">
        <v>421077</v>
      </c>
      <c r="F370" s="13">
        <v>421836</v>
      </c>
      <c r="G370" s="13">
        <v>420357</v>
      </c>
      <c r="H370" s="13">
        <v>420411</v>
      </c>
      <c r="I370" s="13">
        <v>419927000000</v>
      </c>
      <c r="J370" s="35" t="str">
        <f>TRIM(data__2[[#This Row],[Month (old)]])</f>
        <v>May</v>
      </c>
      <c r="K370" s="35" t="str">
        <f>TRIM(data__2[[#This Row],[Symbol (old)]])</f>
        <v>SP500</v>
      </c>
      <c r="L370" s="36" t="str">
        <f>LEFT(data__2[[#This Row],[Month (old2)]], 3)</f>
        <v>May</v>
      </c>
    </row>
    <row r="371" spans="2:12" x14ac:dyDescent="0.25">
      <c r="B371" s="33">
        <v>44344</v>
      </c>
      <c r="C371" s="34" t="s">
        <v>9</v>
      </c>
      <c r="D371" s="34" t="s">
        <v>5</v>
      </c>
      <c r="E371" s="13">
        <v>3827159</v>
      </c>
      <c r="F371" s="13">
        <v>3827159</v>
      </c>
      <c r="G371" s="13">
        <v>3455800</v>
      </c>
      <c r="H371" s="13">
        <v>3650331</v>
      </c>
      <c r="I371" s="13">
        <v>354135</v>
      </c>
      <c r="J371" s="35" t="str">
        <f>TRIM(data__2[[#This Row],[Month (old)]])</f>
        <v>May</v>
      </c>
      <c r="K371" s="35" t="str">
        <f>TRIM(data__2[[#This Row],[Symbol (old)]])</f>
        <v>BTCUSD</v>
      </c>
      <c r="L371" s="36" t="str">
        <f>LEFT(data__2[[#This Row],[Month (old2)]], 3)</f>
        <v>May</v>
      </c>
    </row>
    <row r="372" spans="2:12" x14ac:dyDescent="0.25">
      <c r="B372" s="33">
        <v>44343</v>
      </c>
      <c r="C372" s="34" t="s">
        <v>9</v>
      </c>
      <c r="D372" s="34" t="s">
        <v>18</v>
      </c>
      <c r="E372" s="13">
        <v>420194</v>
      </c>
      <c r="F372" s="13">
        <v>421338</v>
      </c>
      <c r="G372" s="13">
        <v>419778</v>
      </c>
      <c r="H372" s="13">
        <v>420088</v>
      </c>
      <c r="I372" s="13">
        <v>520111000000</v>
      </c>
      <c r="J372" s="35" t="str">
        <f>TRIM(data__2[[#This Row],[Month (old)]])</f>
        <v>May</v>
      </c>
      <c r="K372" s="35" t="str">
        <f>TRIM(data__2[[#This Row],[Symbol (old)]])</f>
        <v>SP500</v>
      </c>
      <c r="L372" s="36" t="str">
        <f>LEFT(data__2[[#This Row],[Month (old2)]], 3)</f>
        <v>May</v>
      </c>
    </row>
    <row r="373" spans="2:12" x14ac:dyDescent="0.25">
      <c r="B373" s="33">
        <v>44343</v>
      </c>
      <c r="C373" s="34" t="s">
        <v>9</v>
      </c>
      <c r="D373" s="34" t="s">
        <v>5</v>
      </c>
      <c r="E373" s="13">
        <v>3767247</v>
      </c>
      <c r="F373" s="13">
        <v>4043240</v>
      </c>
      <c r="G373" s="13">
        <v>3730206</v>
      </c>
      <c r="H373" s="13">
        <v>3827159</v>
      </c>
      <c r="I373" s="13">
        <v>214075</v>
      </c>
      <c r="J373" s="35" t="str">
        <f>TRIM(data__2[[#This Row],[Month (old)]])</f>
        <v>May</v>
      </c>
      <c r="K373" s="35" t="str">
        <f>TRIM(data__2[[#This Row],[Symbol (old)]])</f>
        <v>BTCUSD</v>
      </c>
      <c r="L373" s="36" t="str">
        <f>LEFT(data__2[[#This Row],[Month (old2)]], 3)</f>
        <v>May</v>
      </c>
    </row>
    <row r="374" spans="2:12" x14ac:dyDescent="0.25">
      <c r="B374" s="33">
        <v>44342</v>
      </c>
      <c r="C374" s="34" t="s">
        <v>9</v>
      </c>
      <c r="D374" s="34" t="s">
        <v>18</v>
      </c>
      <c r="E374" s="13">
        <v>419159</v>
      </c>
      <c r="F374" s="13">
        <v>420261</v>
      </c>
      <c r="G374" s="13">
        <v>418411</v>
      </c>
      <c r="H374" s="13">
        <v>419599</v>
      </c>
      <c r="I374" s="13">
        <v>367449000000</v>
      </c>
      <c r="J374" s="35" t="str">
        <f>TRIM(data__2[[#This Row],[Month (old)]])</f>
        <v>May</v>
      </c>
      <c r="K374" s="35" t="str">
        <f>TRIM(data__2[[#This Row],[Symbol (old)]])</f>
        <v>SP500</v>
      </c>
      <c r="L374" s="36" t="str">
        <f>LEFT(data__2[[#This Row],[Month (old2)]], 3)</f>
        <v>May</v>
      </c>
    </row>
    <row r="375" spans="2:12" x14ac:dyDescent="0.25">
      <c r="B375" s="33">
        <v>44342</v>
      </c>
      <c r="C375" s="34" t="s">
        <v>9</v>
      </c>
      <c r="D375" s="34" t="s">
        <v>5</v>
      </c>
      <c r="E375" s="13">
        <v>3957233</v>
      </c>
      <c r="F375" s="13">
        <v>4086120</v>
      </c>
      <c r="G375" s="13">
        <v>3711709</v>
      </c>
      <c r="H375" s="13">
        <v>3767247</v>
      </c>
      <c r="I375" s="13">
        <v>310107</v>
      </c>
      <c r="J375" s="35" t="str">
        <f>TRIM(data__2[[#This Row],[Month (old)]])</f>
        <v>May</v>
      </c>
      <c r="K375" s="35" t="str">
        <f>TRIM(data__2[[#This Row],[Symbol (old)]])</f>
        <v>BTCUSD</v>
      </c>
      <c r="L375" s="36" t="str">
        <f>LEFT(data__2[[#This Row],[Month (old2)]], 3)</f>
        <v>May</v>
      </c>
    </row>
    <row r="376" spans="2:12" x14ac:dyDescent="0.25">
      <c r="B376" s="33">
        <v>44341</v>
      </c>
      <c r="C376" s="34" t="s">
        <v>9</v>
      </c>
      <c r="D376" s="34" t="s">
        <v>18</v>
      </c>
      <c r="E376" s="13">
        <v>420594</v>
      </c>
      <c r="F376" s="13">
        <v>421342</v>
      </c>
      <c r="G376" s="13">
        <v>418252</v>
      </c>
      <c r="H376" s="13">
        <v>418813</v>
      </c>
      <c r="I376" s="13">
        <v>342087000000</v>
      </c>
      <c r="J376" s="35" t="str">
        <f>TRIM(data__2[[#This Row],[Month (old)]])</f>
        <v>May</v>
      </c>
      <c r="K376" s="35" t="str">
        <f>TRIM(data__2[[#This Row],[Symbol (old)]])</f>
        <v>SP500</v>
      </c>
      <c r="L376" s="36" t="str">
        <f>LEFT(data__2[[#This Row],[Month (old2)]], 3)</f>
        <v>May</v>
      </c>
    </row>
    <row r="377" spans="2:12" x14ac:dyDescent="0.25">
      <c r="B377" s="33">
        <v>44341</v>
      </c>
      <c r="C377" s="34" t="s">
        <v>9</v>
      </c>
      <c r="D377" s="34" t="s">
        <v>5</v>
      </c>
      <c r="E377" s="13">
        <v>3838809</v>
      </c>
      <c r="F377" s="13">
        <v>3976096</v>
      </c>
      <c r="G377" s="13">
        <v>3648942</v>
      </c>
      <c r="H377" s="13">
        <v>3957233</v>
      </c>
      <c r="I377" s="13">
        <v>290935</v>
      </c>
      <c r="J377" s="35" t="str">
        <f>TRIM(data__2[[#This Row],[Month (old)]])</f>
        <v>May</v>
      </c>
      <c r="K377" s="35" t="str">
        <f>TRIM(data__2[[#This Row],[Symbol (old)]])</f>
        <v>BTCUSD</v>
      </c>
      <c r="L377" s="36" t="str">
        <f>LEFT(data__2[[#This Row],[Month (old2)]], 3)</f>
        <v>May</v>
      </c>
    </row>
    <row r="378" spans="2:12" x14ac:dyDescent="0.25">
      <c r="B378" s="33">
        <v>44340</v>
      </c>
      <c r="C378" s="34" t="s">
        <v>9</v>
      </c>
      <c r="D378" s="34" t="s">
        <v>18</v>
      </c>
      <c r="E378" s="13">
        <v>417016</v>
      </c>
      <c r="F378" s="13">
        <v>420952</v>
      </c>
      <c r="G378" s="13">
        <v>417016</v>
      </c>
      <c r="H378" s="13">
        <v>419705</v>
      </c>
      <c r="I378" s="13">
        <v>294740000000</v>
      </c>
      <c r="J378" s="35" t="str">
        <f>TRIM(data__2[[#This Row],[Month (old)]])</f>
        <v>May</v>
      </c>
      <c r="K378" s="35" t="str">
        <f>TRIM(data__2[[#This Row],[Symbol (old)]])</f>
        <v>SP500</v>
      </c>
      <c r="L378" s="36" t="str">
        <f>LEFT(data__2[[#This Row],[Month (old2)]], 3)</f>
        <v>May</v>
      </c>
    </row>
    <row r="379" spans="2:12" x14ac:dyDescent="0.25">
      <c r="B379" s="33">
        <v>44340</v>
      </c>
      <c r="C379" s="34" t="s">
        <v>9</v>
      </c>
      <c r="D379" s="34" t="s">
        <v>5</v>
      </c>
      <c r="E379" s="13">
        <v>3531886</v>
      </c>
      <c r="F379" s="13">
        <v>3995365</v>
      </c>
      <c r="G379" s="13">
        <v>3442641</v>
      </c>
      <c r="H379" s="13">
        <v>3838809</v>
      </c>
      <c r="I379" s="13">
        <v>470608</v>
      </c>
      <c r="J379" s="35" t="str">
        <f>TRIM(data__2[[#This Row],[Month (old)]])</f>
        <v>May</v>
      </c>
      <c r="K379" s="35" t="str">
        <f>TRIM(data__2[[#This Row],[Symbol (old)]])</f>
        <v>BTCUSD</v>
      </c>
      <c r="L379" s="36" t="str">
        <f>LEFT(data__2[[#This Row],[Month (old2)]], 3)</f>
        <v>May</v>
      </c>
    </row>
    <row r="380" spans="2:12" x14ac:dyDescent="0.25">
      <c r="B380" s="33">
        <v>44339</v>
      </c>
      <c r="C380" s="34" t="s">
        <v>9</v>
      </c>
      <c r="D380" s="34" t="s">
        <v>5</v>
      </c>
      <c r="E380" s="13">
        <v>3748418</v>
      </c>
      <c r="F380" s="13">
        <v>3748418</v>
      </c>
      <c r="G380" s="13">
        <v>3110414</v>
      </c>
      <c r="H380" s="13">
        <v>3531886</v>
      </c>
      <c r="I380" s="13">
        <v>714310</v>
      </c>
      <c r="J380" s="35" t="str">
        <f>TRIM(data__2[[#This Row],[Month (old)]])</f>
        <v>May</v>
      </c>
      <c r="K380" s="35" t="str">
        <f>TRIM(data__2[[#This Row],[Symbol (old)]])</f>
        <v>BTCUSD</v>
      </c>
      <c r="L380" s="36" t="str">
        <f>LEFT(data__2[[#This Row],[Month (old2)]], 3)</f>
        <v>May</v>
      </c>
    </row>
    <row r="381" spans="2:12" x14ac:dyDescent="0.25">
      <c r="B381" s="33">
        <v>44338</v>
      </c>
      <c r="C381" s="34" t="s">
        <v>9</v>
      </c>
      <c r="D381" s="34" t="s">
        <v>5</v>
      </c>
      <c r="E381" s="13">
        <v>3696352</v>
      </c>
      <c r="F381" s="13">
        <v>3886115</v>
      </c>
      <c r="G381" s="13">
        <v>3527209</v>
      </c>
      <c r="H381" s="13">
        <v>3748418</v>
      </c>
      <c r="I381" s="13">
        <v>241886</v>
      </c>
      <c r="J381" s="35" t="str">
        <f>TRIM(data__2[[#This Row],[Month (old)]])</f>
        <v>May</v>
      </c>
      <c r="K381" s="35" t="str">
        <f>TRIM(data__2[[#This Row],[Symbol (old)]])</f>
        <v>BTCUSD</v>
      </c>
      <c r="L381" s="36" t="str">
        <f>LEFT(data__2[[#This Row],[Month (old2)]], 3)</f>
        <v>May</v>
      </c>
    </row>
    <row r="382" spans="2:12" x14ac:dyDescent="0.25">
      <c r="B382" s="33">
        <v>44337</v>
      </c>
      <c r="C382" s="34" t="s">
        <v>9</v>
      </c>
      <c r="D382" s="34" t="s">
        <v>18</v>
      </c>
      <c r="E382" s="13">
        <v>416861</v>
      </c>
      <c r="F382" s="13">
        <v>418872</v>
      </c>
      <c r="G382" s="13">
        <v>415172</v>
      </c>
      <c r="H382" s="13">
        <v>415586</v>
      </c>
      <c r="I382" s="13">
        <v>334462000000</v>
      </c>
      <c r="J382" s="35" t="str">
        <f>TRIM(data__2[[#This Row],[Month (old)]])</f>
        <v>May</v>
      </c>
      <c r="K382" s="35" t="str">
        <f>TRIM(data__2[[#This Row],[Symbol (old)]])</f>
        <v>SP500</v>
      </c>
      <c r="L382" s="36" t="str">
        <f>LEFT(data__2[[#This Row],[Month (old2)]], 3)</f>
        <v>May</v>
      </c>
    </row>
    <row r="383" spans="2:12" x14ac:dyDescent="0.25">
      <c r="B383" s="33">
        <v>44337</v>
      </c>
      <c r="C383" s="34" t="s">
        <v>9</v>
      </c>
      <c r="D383" s="34" t="s">
        <v>5</v>
      </c>
      <c r="E383" s="13">
        <v>4077352</v>
      </c>
      <c r="F383" s="13">
        <v>4179674</v>
      </c>
      <c r="G383" s="13">
        <v>3350000</v>
      </c>
      <c r="H383" s="13">
        <v>3696352</v>
      </c>
      <c r="I383" s="13">
        <v>749123</v>
      </c>
      <c r="J383" s="35" t="str">
        <f>TRIM(data__2[[#This Row],[Month (old)]])</f>
        <v>May</v>
      </c>
      <c r="K383" s="35" t="str">
        <f>TRIM(data__2[[#This Row],[Symbol (old)]])</f>
        <v>BTCUSD</v>
      </c>
      <c r="L383" s="36" t="str">
        <f>LEFT(data__2[[#This Row],[Month (old2)]], 3)</f>
        <v>May</v>
      </c>
    </row>
    <row r="384" spans="2:12" x14ac:dyDescent="0.25">
      <c r="B384" s="33">
        <v>44336</v>
      </c>
      <c r="C384" s="34" t="s">
        <v>9</v>
      </c>
      <c r="D384" s="34" t="s">
        <v>18</v>
      </c>
      <c r="E384" s="13">
        <v>412197</v>
      </c>
      <c r="F384" s="13">
        <v>417280</v>
      </c>
      <c r="G384" s="13">
        <v>412197</v>
      </c>
      <c r="H384" s="13">
        <v>415912</v>
      </c>
      <c r="I384" s="13">
        <v>301906000000</v>
      </c>
      <c r="J384" s="35" t="str">
        <f>TRIM(data__2[[#This Row],[Month (old)]])</f>
        <v>May</v>
      </c>
      <c r="K384" s="35" t="str">
        <f>TRIM(data__2[[#This Row],[Symbol (old)]])</f>
        <v>SP500</v>
      </c>
      <c r="L384" s="36" t="str">
        <f>LEFT(data__2[[#This Row],[Month (old2)]], 3)</f>
        <v>May</v>
      </c>
    </row>
    <row r="385" spans="2:12" x14ac:dyDescent="0.25">
      <c r="B385" s="33">
        <v>44336</v>
      </c>
      <c r="C385" s="34" t="s">
        <v>9</v>
      </c>
      <c r="D385" s="34" t="s">
        <v>5</v>
      </c>
      <c r="E385" s="13">
        <v>3841114</v>
      </c>
      <c r="F385" s="13">
        <v>4262543</v>
      </c>
      <c r="G385" s="13">
        <v>3820000</v>
      </c>
      <c r="H385" s="13">
        <v>4077352</v>
      </c>
      <c r="I385" s="13">
        <v>498139</v>
      </c>
      <c r="J385" s="35" t="str">
        <f>TRIM(data__2[[#This Row],[Month (old)]])</f>
        <v>May</v>
      </c>
      <c r="K385" s="35" t="str">
        <f>TRIM(data__2[[#This Row],[Symbol (old)]])</f>
        <v>BTCUSD</v>
      </c>
      <c r="L385" s="36" t="str">
        <f>LEFT(data__2[[#This Row],[Month (old2)]], 3)</f>
        <v>May</v>
      </c>
    </row>
    <row r="386" spans="2:12" x14ac:dyDescent="0.25">
      <c r="B386" s="33">
        <v>44335</v>
      </c>
      <c r="C386" s="34" t="s">
        <v>9</v>
      </c>
      <c r="D386" s="34" t="s">
        <v>18</v>
      </c>
      <c r="E386" s="13">
        <v>409845</v>
      </c>
      <c r="F386" s="13">
        <v>411693</v>
      </c>
      <c r="G386" s="13">
        <v>406141</v>
      </c>
      <c r="H386" s="13">
        <v>411568</v>
      </c>
      <c r="I386" s="13">
        <v>348555000000</v>
      </c>
      <c r="J386" s="35" t="str">
        <f>TRIM(data__2[[#This Row],[Month (old)]])</f>
        <v>May</v>
      </c>
      <c r="K386" s="35" t="str">
        <f>TRIM(data__2[[#This Row],[Symbol (old)]])</f>
        <v>SP500</v>
      </c>
      <c r="L386" s="36" t="str">
        <f>LEFT(data__2[[#This Row],[Month (old2)]], 3)</f>
        <v>May</v>
      </c>
    </row>
    <row r="387" spans="2:12" x14ac:dyDescent="0.25">
      <c r="B387" s="33">
        <v>44335</v>
      </c>
      <c r="C387" s="34" t="s">
        <v>9</v>
      </c>
      <c r="D387" s="34" t="s">
        <v>5</v>
      </c>
      <c r="E387" s="13">
        <v>4057098</v>
      </c>
      <c r="F387" s="13">
        <v>4086740</v>
      </c>
      <c r="G387" s="13">
        <v>2870000</v>
      </c>
      <c r="H387" s="13">
        <v>3841114</v>
      </c>
      <c r="I387" s="13">
        <v>1800098</v>
      </c>
      <c r="J387" s="35" t="str">
        <f>TRIM(data__2[[#This Row],[Month (old)]])</f>
        <v>May</v>
      </c>
      <c r="K387" s="35" t="str">
        <f>TRIM(data__2[[#This Row],[Symbol (old)]])</f>
        <v>BTCUSD</v>
      </c>
      <c r="L387" s="36" t="str">
        <f>LEFT(data__2[[#This Row],[Month (old2)]], 3)</f>
        <v>May</v>
      </c>
    </row>
    <row r="388" spans="2:12" x14ac:dyDescent="0.25">
      <c r="B388" s="33">
        <v>44334</v>
      </c>
      <c r="C388" s="34" t="s">
        <v>9</v>
      </c>
      <c r="D388" s="34" t="s">
        <v>18</v>
      </c>
      <c r="E388" s="13">
        <v>416594</v>
      </c>
      <c r="F388" s="13">
        <v>416915</v>
      </c>
      <c r="G388" s="13">
        <v>412599</v>
      </c>
      <c r="H388" s="13">
        <v>412783</v>
      </c>
      <c r="I388" s="13">
        <v>355979000000</v>
      </c>
      <c r="J388" s="35" t="str">
        <f>TRIM(data__2[[#This Row],[Month (old)]])</f>
        <v>May</v>
      </c>
      <c r="K388" s="35" t="str">
        <f>TRIM(data__2[[#This Row],[Symbol (old)]])</f>
        <v>SP500</v>
      </c>
      <c r="L388" s="36" t="str">
        <f>LEFT(data__2[[#This Row],[Month (old2)]], 3)</f>
        <v>May</v>
      </c>
    </row>
    <row r="389" spans="2:12" x14ac:dyDescent="0.25">
      <c r="B389" s="33">
        <v>44334</v>
      </c>
      <c r="C389" s="34" t="s">
        <v>9</v>
      </c>
      <c r="D389" s="34" t="s">
        <v>5</v>
      </c>
      <c r="E389" s="13">
        <v>4482475</v>
      </c>
      <c r="F389" s="13">
        <v>4586017</v>
      </c>
      <c r="G389" s="13">
        <v>4011800</v>
      </c>
      <c r="H389" s="13">
        <v>4057098</v>
      </c>
      <c r="I389" s="13">
        <v>477804</v>
      </c>
      <c r="J389" s="35" t="str">
        <f>TRIM(data__2[[#This Row],[Month (old)]])</f>
        <v>May</v>
      </c>
      <c r="K389" s="35" t="str">
        <f>TRIM(data__2[[#This Row],[Symbol (old)]])</f>
        <v>BTCUSD</v>
      </c>
      <c r="L389" s="36" t="str">
        <f>LEFT(data__2[[#This Row],[Month (old2)]], 3)</f>
        <v>May</v>
      </c>
    </row>
    <row r="390" spans="2:12" x14ac:dyDescent="0.25">
      <c r="B390" s="33">
        <v>44333</v>
      </c>
      <c r="C390" s="34" t="s">
        <v>9</v>
      </c>
      <c r="D390" s="34" t="s">
        <v>18</v>
      </c>
      <c r="E390" s="13">
        <v>416992</v>
      </c>
      <c r="F390" s="13">
        <v>417192</v>
      </c>
      <c r="G390" s="13">
        <v>414269</v>
      </c>
      <c r="H390" s="13">
        <v>416329</v>
      </c>
      <c r="I390" s="13">
        <v>330713000000</v>
      </c>
      <c r="J390" s="35" t="str">
        <f>TRIM(data__2[[#This Row],[Month (old)]])</f>
        <v>May</v>
      </c>
      <c r="K390" s="35" t="str">
        <f>TRIM(data__2[[#This Row],[Symbol (old)]])</f>
        <v>SP500</v>
      </c>
      <c r="L390" s="36" t="str">
        <f>LEFT(data__2[[#This Row],[Month (old2)]], 3)</f>
        <v>May</v>
      </c>
    </row>
    <row r="391" spans="2:12" x14ac:dyDescent="0.25">
      <c r="B391" s="33">
        <v>44333</v>
      </c>
      <c r="C391" s="34" t="s">
        <v>9</v>
      </c>
      <c r="D391" s="34" t="s">
        <v>5</v>
      </c>
      <c r="E391" s="13">
        <v>4290209</v>
      </c>
      <c r="F391" s="13">
        <v>4583348</v>
      </c>
      <c r="G391" s="13">
        <v>4208000</v>
      </c>
      <c r="H391" s="13">
        <v>4482475</v>
      </c>
      <c r="I391" s="13">
        <v>576437</v>
      </c>
      <c r="J391" s="35" t="str">
        <f>TRIM(data__2[[#This Row],[Month (old)]])</f>
        <v>May</v>
      </c>
      <c r="K391" s="35" t="str">
        <f>TRIM(data__2[[#This Row],[Symbol (old)]])</f>
        <v>BTCUSD</v>
      </c>
      <c r="L391" s="36" t="str">
        <f>LEFT(data__2[[#This Row],[Month (old2)]], 3)</f>
        <v>May</v>
      </c>
    </row>
    <row r="392" spans="2:12" x14ac:dyDescent="0.25">
      <c r="B392" s="33">
        <v>44332</v>
      </c>
      <c r="C392" s="34" t="s">
        <v>9</v>
      </c>
      <c r="D392" s="34" t="s">
        <v>5</v>
      </c>
      <c r="E392" s="13">
        <v>4838360</v>
      </c>
      <c r="F392" s="13">
        <v>4979000</v>
      </c>
      <c r="G392" s="13">
        <v>4279300</v>
      </c>
      <c r="H392" s="13">
        <v>4290209</v>
      </c>
      <c r="I392" s="13">
        <v>393704</v>
      </c>
      <c r="J392" s="35" t="str">
        <f>TRIM(data__2[[#This Row],[Month (old)]])</f>
        <v>May</v>
      </c>
      <c r="K392" s="35" t="str">
        <f>TRIM(data__2[[#This Row],[Symbol (old)]])</f>
        <v>BTCUSD</v>
      </c>
      <c r="L392" s="36" t="str">
        <f>LEFT(data__2[[#This Row],[Month (old2)]], 3)</f>
        <v>May</v>
      </c>
    </row>
    <row r="393" spans="2:12" x14ac:dyDescent="0.25">
      <c r="B393" s="33">
        <v>44331</v>
      </c>
      <c r="C393" s="34" t="s">
        <v>9</v>
      </c>
      <c r="D393" s="34" t="s">
        <v>5</v>
      </c>
      <c r="E393" s="13">
        <v>4967085</v>
      </c>
      <c r="F393" s="13">
        <v>4990000</v>
      </c>
      <c r="G393" s="13">
        <v>4650000</v>
      </c>
      <c r="H393" s="13">
        <v>4838360</v>
      </c>
      <c r="I393" s="13">
        <v>193826</v>
      </c>
      <c r="J393" s="35" t="str">
        <f>TRIM(data__2[[#This Row],[Month (old)]])</f>
        <v>May</v>
      </c>
      <c r="K393" s="35" t="str">
        <f>TRIM(data__2[[#This Row],[Symbol (old)]])</f>
        <v>BTCUSD</v>
      </c>
      <c r="L393" s="36" t="str">
        <f>LEFT(data__2[[#This Row],[Month (old2)]], 3)</f>
        <v>May</v>
      </c>
    </row>
    <row r="394" spans="2:12" x14ac:dyDescent="0.25">
      <c r="B394" s="33">
        <v>44330</v>
      </c>
      <c r="C394" s="34" t="s">
        <v>9</v>
      </c>
      <c r="D394" s="34" t="s">
        <v>18</v>
      </c>
      <c r="E394" s="13">
        <v>412958</v>
      </c>
      <c r="F394" s="13">
        <v>418313</v>
      </c>
      <c r="G394" s="13">
        <v>412958</v>
      </c>
      <c r="H394" s="13">
        <v>417385</v>
      </c>
      <c r="I394" s="13">
        <v>325192000000</v>
      </c>
      <c r="J394" s="35" t="str">
        <f>TRIM(data__2[[#This Row],[Month (old)]])</f>
        <v>May</v>
      </c>
      <c r="K394" s="35" t="str">
        <f>TRIM(data__2[[#This Row],[Symbol (old)]])</f>
        <v>SP500</v>
      </c>
      <c r="L394" s="36" t="str">
        <f>LEFT(data__2[[#This Row],[Month (old2)]], 3)</f>
        <v>May</v>
      </c>
    </row>
    <row r="395" spans="2:12" x14ac:dyDescent="0.25">
      <c r="B395" s="33">
        <v>44330</v>
      </c>
      <c r="C395" s="34" t="s">
        <v>9</v>
      </c>
      <c r="D395" s="34" t="s">
        <v>5</v>
      </c>
      <c r="E395" s="13">
        <v>4922107</v>
      </c>
      <c r="F395" s="13">
        <v>5157516</v>
      </c>
      <c r="G395" s="13">
        <v>4889479</v>
      </c>
      <c r="H395" s="13">
        <v>4967085</v>
      </c>
      <c r="I395" s="13">
        <v>200131</v>
      </c>
      <c r="J395" s="35" t="str">
        <f>TRIM(data__2[[#This Row],[Month (old)]])</f>
        <v>May</v>
      </c>
      <c r="K395" s="35" t="str">
        <f>TRIM(data__2[[#This Row],[Symbol (old)]])</f>
        <v>BTCUSD</v>
      </c>
      <c r="L395" s="36" t="str">
        <f>LEFT(data__2[[#This Row],[Month (old2)]], 3)</f>
        <v>May</v>
      </c>
    </row>
    <row r="396" spans="2:12" x14ac:dyDescent="0.25">
      <c r="B396" s="33">
        <v>44329</v>
      </c>
      <c r="C396" s="34" t="s">
        <v>9</v>
      </c>
      <c r="D396" s="34" t="s">
        <v>18</v>
      </c>
      <c r="E396" s="13">
        <v>407499</v>
      </c>
      <c r="F396" s="13">
        <v>413158</v>
      </c>
      <c r="G396" s="13">
        <v>407499</v>
      </c>
      <c r="H396" s="13">
        <v>411250</v>
      </c>
      <c r="I396" s="13">
        <v>368778000000</v>
      </c>
      <c r="J396" s="35" t="str">
        <f>TRIM(data__2[[#This Row],[Month (old)]])</f>
        <v>May</v>
      </c>
      <c r="K396" s="35" t="str">
        <f>TRIM(data__2[[#This Row],[Symbol (old)]])</f>
        <v>SP500</v>
      </c>
      <c r="L396" s="36" t="str">
        <f>LEFT(data__2[[#This Row],[Month (old2)]], 3)</f>
        <v>May</v>
      </c>
    </row>
    <row r="397" spans="2:12" x14ac:dyDescent="0.25">
      <c r="B397" s="33">
        <v>44329</v>
      </c>
      <c r="C397" s="34" t="s">
        <v>9</v>
      </c>
      <c r="D397" s="34" t="s">
        <v>5</v>
      </c>
      <c r="E397" s="13">
        <v>5049311</v>
      </c>
      <c r="F397" s="13">
        <v>5138995</v>
      </c>
      <c r="G397" s="13">
        <v>4696239</v>
      </c>
      <c r="H397" s="13">
        <v>4922107</v>
      </c>
      <c r="I397" s="13">
        <v>425047</v>
      </c>
      <c r="J397" s="35" t="str">
        <f>TRIM(data__2[[#This Row],[Month (old)]])</f>
        <v>May</v>
      </c>
      <c r="K397" s="35" t="str">
        <f>TRIM(data__2[[#This Row],[Symbol (old)]])</f>
        <v>BTCUSD</v>
      </c>
      <c r="L397" s="36" t="str">
        <f>LEFT(data__2[[#This Row],[Month (old2)]], 3)</f>
        <v>May</v>
      </c>
    </row>
    <row r="398" spans="2:12" x14ac:dyDescent="0.25">
      <c r="B398" s="33">
        <v>44328</v>
      </c>
      <c r="C398" s="34" t="s">
        <v>9</v>
      </c>
      <c r="D398" s="34" t="s">
        <v>18</v>
      </c>
      <c r="E398" s="13">
        <v>413055</v>
      </c>
      <c r="F398" s="13">
        <v>413473</v>
      </c>
      <c r="G398" s="13">
        <v>405688</v>
      </c>
      <c r="H398" s="13">
        <v>406304</v>
      </c>
      <c r="I398" s="13">
        <v>373508000000</v>
      </c>
      <c r="J398" s="35" t="str">
        <f>TRIM(data__2[[#This Row],[Month (old)]])</f>
        <v>May</v>
      </c>
      <c r="K398" s="35" t="str">
        <f>TRIM(data__2[[#This Row],[Symbol (old)]])</f>
        <v>SP500</v>
      </c>
      <c r="L398" s="36" t="str">
        <f>LEFT(data__2[[#This Row],[Month (old2)]], 3)</f>
        <v>May</v>
      </c>
    </row>
    <row r="399" spans="2:12" x14ac:dyDescent="0.25">
      <c r="B399" s="33">
        <v>44328</v>
      </c>
      <c r="C399" s="34" t="s">
        <v>9</v>
      </c>
      <c r="D399" s="34" t="s">
        <v>5</v>
      </c>
      <c r="E399" s="13">
        <v>5782000</v>
      </c>
      <c r="F399" s="13">
        <v>5799826</v>
      </c>
      <c r="G399" s="13">
        <v>4500000</v>
      </c>
      <c r="H399" s="13">
        <v>5049311</v>
      </c>
      <c r="I399" s="13">
        <v>643829</v>
      </c>
      <c r="J399" s="35" t="str">
        <f>TRIM(data__2[[#This Row],[Month (old)]])</f>
        <v>May</v>
      </c>
      <c r="K399" s="35" t="str">
        <f>TRIM(data__2[[#This Row],[Symbol (old)]])</f>
        <v>BTCUSD</v>
      </c>
      <c r="L399" s="36" t="str">
        <f>LEFT(data__2[[#This Row],[Month (old2)]], 3)</f>
        <v>May</v>
      </c>
    </row>
    <row r="400" spans="2:12" x14ac:dyDescent="0.25">
      <c r="B400" s="33">
        <v>44327</v>
      </c>
      <c r="C400" s="34" t="s">
        <v>9</v>
      </c>
      <c r="D400" s="34" t="s">
        <v>18</v>
      </c>
      <c r="E400" s="13">
        <v>415034</v>
      </c>
      <c r="F400" s="13">
        <v>416204</v>
      </c>
      <c r="G400" s="13">
        <v>411153</v>
      </c>
      <c r="H400" s="13">
        <v>415210</v>
      </c>
      <c r="I400" s="13">
        <v>359311000000</v>
      </c>
      <c r="J400" s="35" t="str">
        <f>TRIM(data__2[[#This Row],[Month (old)]])</f>
        <v>May</v>
      </c>
      <c r="K400" s="35" t="str">
        <f>TRIM(data__2[[#This Row],[Symbol (old)]])</f>
        <v>SP500</v>
      </c>
      <c r="L400" s="36" t="str">
        <f>LEFT(data__2[[#This Row],[Month (old2)]], 3)</f>
        <v>May</v>
      </c>
    </row>
    <row r="401" spans="2:12" x14ac:dyDescent="0.25">
      <c r="B401" s="33">
        <v>44327</v>
      </c>
      <c r="C401" s="34" t="s">
        <v>9</v>
      </c>
      <c r="D401" s="34" t="s">
        <v>5</v>
      </c>
      <c r="E401" s="13">
        <v>5519475</v>
      </c>
      <c r="F401" s="13">
        <v>5789800</v>
      </c>
      <c r="G401" s="13">
        <v>5468400</v>
      </c>
      <c r="H401" s="13">
        <v>5782000</v>
      </c>
      <c r="I401" s="13">
        <v>143256</v>
      </c>
      <c r="J401" s="35" t="str">
        <f>TRIM(data__2[[#This Row],[Month (old)]])</f>
        <v>May</v>
      </c>
      <c r="K401" s="35" t="str">
        <f>TRIM(data__2[[#This Row],[Symbol (old)]])</f>
        <v>BTCUSD</v>
      </c>
      <c r="L401" s="36" t="str">
        <f>LEFT(data__2[[#This Row],[Month (old2)]], 3)</f>
        <v>May</v>
      </c>
    </row>
    <row r="402" spans="2:12" x14ac:dyDescent="0.25">
      <c r="B402" s="33">
        <v>44326</v>
      </c>
      <c r="C402" s="34" t="s">
        <v>9</v>
      </c>
      <c r="D402" s="34" t="s">
        <v>18</v>
      </c>
      <c r="E402" s="13">
        <v>422829</v>
      </c>
      <c r="F402" s="13">
        <v>423639</v>
      </c>
      <c r="G402" s="13">
        <v>418813</v>
      </c>
      <c r="H402" s="13">
        <v>418843</v>
      </c>
      <c r="I402" s="13">
        <v>367897000000</v>
      </c>
      <c r="J402" s="35" t="str">
        <f>TRIM(data__2[[#This Row],[Month (old)]])</f>
        <v>May</v>
      </c>
      <c r="K402" s="35" t="str">
        <f>TRIM(data__2[[#This Row],[Symbol (old)]])</f>
        <v>SP500</v>
      </c>
      <c r="L402" s="36" t="str">
        <f>LEFT(data__2[[#This Row],[Month (old2)]], 3)</f>
        <v>May</v>
      </c>
    </row>
    <row r="403" spans="2:12" x14ac:dyDescent="0.25">
      <c r="B403" s="33">
        <v>44326</v>
      </c>
      <c r="C403" s="34" t="s">
        <v>9</v>
      </c>
      <c r="D403" s="34" t="s">
        <v>5</v>
      </c>
      <c r="E403" s="13">
        <v>5940778</v>
      </c>
      <c r="F403" s="13">
        <v>5958499</v>
      </c>
      <c r="G403" s="13">
        <v>5343431</v>
      </c>
      <c r="H403" s="13">
        <v>5519475</v>
      </c>
      <c r="I403" s="13">
        <v>258342</v>
      </c>
      <c r="J403" s="35" t="str">
        <f>TRIM(data__2[[#This Row],[Month (old)]])</f>
        <v>May</v>
      </c>
      <c r="K403" s="35" t="str">
        <f>TRIM(data__2[[#This Row],[Symbol (old)]])</f>
        <v>BTCUSD</v>
      </c>
      <c r="L403" s="36" t="str">
        <f>LEFT(data__2[[#This Row],[Month (old2)]], 3)</f>
        <v>May</v>
      </c>
    </row>
    <row r="404" spans="2:12" x14ac:dyDescent="0.25">
      <c r="B404" s="33">
        <v>44325</v>
      </c>
      <c r="C404" s="34" t="s">
        <v>9</v>
      </c>
      <c r="D404" s="34" t="s">
        <v>5</v>
      </c>
      <c r="E404" s="13">
        <v>5854516</v>
      </c>
      <c r="F404" s="13">
        <v>5948134</v>
      </c>
      <c r="G404" s="13">
        <v>5627513</v>
      </c>
      <c r="H404" s="13">
        <v>5940778</v>
      </c>
      <c r="I404" s="13">
        <v>171038</v>
      </c>
      <c r="J404" s="35" t="str">
        <f>TRIM(data__2[[#This Row],[Month (old)]])</f>
        <v>May</v>
      </c>
      <c r="K404" s="35" t="str">
        <f>TRIM(data__2[[#This Row],[Symbol (old)]])</f>
        <v>BTCUSD</v>
      </c>
      <c r="L404" s="36" t="str">
        <f>LEFT(data__2[[#This Row],[Month (old2)]], 3)</f>
        <v>May</v>
      </c>
    </row>
    <row r="405" spans="2:12" x14ac:dyDescent="0.25">
      <c r="B405" s="33">
        <v>44324</v>
      </c>
      <c r="C405" s="34" t="s">
        <v>9</v>
      </c>
      <c r="D405" s="34" t="s">
        <v>5</v>
      </c>
      <c r="E405" s="13">
        <v>5818776</v>
      </c>
      <c r="F405" s="13">
        <v>5956000</v>
      </c>
      <c r="G405" s="13">
        <v>5758309</v>
      </c>
      <c r="H405" s="13">
        <v>5854516</v>
      </c>
      <c r="I405" s="13">
        <v>169208</v>
      </c>
      <c r="J405" s="35" t="str">
        <f>TRIM(data__2[[#This Row],[Month (old)]])</f>
        <v>May</v>
      </c>
      <c r="K405" s="35" t="str">
        <f>TRIM(data__2[[#This Row],[Symbol (old)]])</f>
        <v>BTCUSD</v>
      </c>
      <c r="L405" s="36" t="str">
        <f>LEFT(data__2[[#This Row],[Month (old2)]], 3)</f>
        <v>May</v>
      </c>
    </row>
    <row r="406" spans="2:12" x14ac:dyDescent="0.25">
      <c r="B406" s="33">
        <v>44323</v>
      </c>
      <c r="C406" s="34" t="s">
        <v>9</v>
      </c>
      <c r="D406" s="34" t="s">
        <v>18</v>
      </c>
      <c r="E406" s="13">
        <v>421034</v>
      </c>
      <c r="F406" s="13">
        <v>423804</v>
      </c>
      <c r="G406" s="13">
        <v>420164</v>
      </c>
      <c r="H406" s="13">
        <v>423260</v>
      </c>
      <c r="I406" s="13">
        <v>401306000000</v>
      </c>
      <c r="J406" s="35" t="str">
        <f>TRIM(data__2[[#This Row],[Month (old)]])</f>
        <v>May</v>
      </c>
      <c r="K406" s="35" t="str">
        <f>TRIM(data__2[[#This Row],[Symbol (old)]])</f>
        <v>SP500</v>
      </c>
      <c r="L406" s="36" t="str">
        <f>LEFT(data__2[[#This Row],[Month (old2)]], 3)</f>
        <v>May</v>
      </c>
    </row>
    <row r="407" spans="2:12" x14ac:dyDescent="0.25">
      <c r="B407" s="33">
        <v>44323</v>
      </c>
      <c r="C407" s="34" t="s">
        <v>9</v>
      </c>
      <c r="D407" s="34" t="s">
        <v>5</v>
      </c>
      <c r="E407" s="13">
        <v>5576228</v>
      </c>
      <c r="F407" s="13">
        <v>5875000</v>
      </c>
      <c r="G407" s="13">
        <v>5529222</v>
      </c>
      <c r="H407" s="13">
        <v>5818776</v>
      </c>
      <c r="I407" s="13">
        <v>159120</v>
      </c>
      <c r="J407" s="35" t="str">
        <f>TRIM(data__2[[#This Row],[Month (old)]])</f>
        <v>May</v>
      </c>
      <c r="K407" s="35" t="str">
        <f>TRIM(data__2[[#This Row],[Symbol (old)]])</f>
        <v>BTCUSD</v>
      </c>
      <c r="L407" s="36" t="str">
        <f>LEFT(data__2[[#This Row],[Month (old2)]], 3)</f>
        <v>May</v>
      </c>
    </row>
    <row r="408" spans="2:12" x14ac:dyDescent="0.25">
      <c r="B408" s="33">
        <v>44322</v>
      </c>
      <c r="C408" s="34" t="s">
        <v>9</v>
      </c>
      <c r="D408" s="34" t="s">
        <v>18</v>
      </c>
      <c r="E408" s="13">
        <v>416914</v>
      </c>
      <c r="F408" s="13">
        <v>420270</v>
      </c>
      <c r="G408" s="13">
        <v>414733</v>
      </c>
      <c r="H408" s="13">
        <v>420162</v>
      </c>
      <c r="I408" s="13">
        <v>450486000000</v>
      </c>
      <c r="J408" s="35" t="str">
        <f>TRIM(data__2[[#This Row],[Month (old)]])</f>
        <v>May</v>
      </c>
      <c r="K408" s="35" t="str">
        <f>TRIM(data__2[[#This Row],[Symbol (old)]])</f>
        <v>SP500</v>
      </c>
      <c r="L408" s="36" t="str">
        <f>LEFT(data__2[[#This Row],[Month (old2)]], 3)</f>
        <v>May</v>
      </c>
    </row>
    <row r="409" spans="2:12" x14ac:dyDescent="0.25">
      <c r="B409" s="33">
        <v>44322</v>
      </c>
      <c r="C409" s="34" t="s">
        <v>9</v>
      </c>
      <c r="D409" s="34" t="s">
        <v>5</v>
      </c>
      <c r="E409" s="13">
        <v>5690044</v>
      </c>
      <c r="F409" s="13">
        <v>5846593</v>
      </c>
      <c r="G409" s="13">
        <v>5520000</v>
      </c>
      <c r="H409" s="13">
        <v>5576228</v>
      </c>
      <c r="I409" s="13">
        <v>149490</v>
      </c>
      <c r="J409" s="35" t="str">
        <f>TRIM(data__2[[#This Row],[Month (old)]])</f>
        <v>May</v>
      </c>
      <c r="K409" s="35" t="str">
        <f>TRIM(data__2[[#This Row],[Symbol (old)]])</f>
        <v>BTCUSD</v>
      </c>
      <c r="L409" s="36" t="str">
        <f>LEFT(data__2[[#This Row],[Month (old2)]], 3)</f>
        <v>May</v>
      </c>
    </row>
    <row r="410" spans="2:12" x14ac:dyDescent="0.25">
      <c r="B410" s="33">
        <v>44321</v>
      </c>
      <c r="C410" s="34" t="s">
        <v>9</v>
      </c>
      <c r="D410" s="34" t="s">
        <v>18</v>
      </c>
      <c r="E410" s="13">
        <v>417706</v>
      </c>
      <c r="F410" s="13">
        <v>418772</v>
      </c>
      <c r="G410" s="13">
        <v>416094</v>
      </c>
      <c r="H410" s="13">
        <v>416759</v>
      </c>
      <c r="I410" s="13">
        <v>402905000000</v>
      </c>
      <c r="J410" s="35" t="str">
        <f>TRIM(data__2[[#This Row],[Month (old)]])</f>
        <v>May</v>
      </c>
      <c r="K410" s="35" t="str">
        <f>TRIM(data__2[[#This Row],[Symbol (old)]])</f>
        <v>SP500</v>
      </c>
      <c r="L410" s="36" t="str">
        <f>LEFT(data__2[[#This Row],[Month (old2)]], 3)</f>
        <v>May</v>
      </c>
    </row>
    <row r="411" spans="2:12" x14ac:dyDescent="0.25">
      <c r="B411" s="33">
        <v>44321</v>
      </c>
      <c r="C411" s="34" t="s">
        <v>9</v>
      </c>
      <c r="D411" s="34" t="s">
        <v>5</v>
      </c>
      <c r="E411" s="13">
        <v>5483220</v>
      </c>
      <c r="F411" s="13">
        <v>5797407</v>
      </c>
      <c r="G411" s="13">
        <v>5315868</v>
      </c>
      <c r="H411" s="13">
        <v>5690044</v>
      </c>
      <c r="I411" s="13">
        <v>243066</v>
      </c>
      <c r="J411" s="35" t="str">
        <f>TRIM(data__2[[#This Row],[Month (old)]])</f>
        <v>May</v>
      </c>
      <c r="K411" s="35" t="str">
        <f>TRIM(data__2[[#This Row],[Symbol (old)]])</f>
        <v>BTCUSD</v>
      </c>
      <c r="L411" s="36" t="str">
        <f>LEFT(data__2[[#This Row],[Month (old2)]], 3)</f>
        <v>May</v>
      </c>
    </row>
    <row r="412" spans="2:12" x14ac:dyDescent="0.25">
      <c r="B412" s="33">
        <v>44320</v>
      </c>
      <c r="C412" s="34" t="s">
        <v>9</v>
      </c>
      <c r="D412" s="34" t="s">
        <v>18</v>
      </c>
      <c r="E412" s="13">
        <v>417904</v>
      </c>
      <c r="F412" s="13">
        <v>417904</v>
      </c>
      <c r="G412" s="13">
        <v>412859</v>
      </c>
      <c r="H412" s="13">
        <v>416466</v>
      </c>
      <c r="I412" s="13">
        <v>444108000000</v>
      </c>
      <c r="J412" s="35" t="str">
        <f>TRIM(data__2[[#This Row],[Month (old)]])</f>
        <v>May</v>
      </c>
      <c r="K412" s="35" t="str">
        <f>TRIM(data__2[[#This Row],[Symbol (old)]])</f>
        <v>SP500</v>
      </c>
      <c r="L412" s="36" t="str">
        <f>LEFT(data__2[[#This Row],[Month (old2)]], 3)</f>
        <v>May</v>
      </c>
    </row>
    <row r="413" spans="2:12" x14ac:dyDescent="0.25">
      <c r="B413" s="33">
        <v>44320</v>
      </c>
      <c r="C413" s="34" t="s">
        <v>9</v>
      </c>
      <c r="D413" s="34" t="s">
        <v>5</v>
      </c>
      <c r="E413" s="13">
        <v>5551137</v>
      </c>
      <c r="F413" s="13">
        <v>5665950</v>
      </c>
      <c r="G413" s="13">
        <v>5294709</v>
      </c>
      <c r="H413" s="13">
        <v>5483220</v>
      </c>
      <c r="I413" s="13">
        <v>288008</v>
      </c>
      <c r="J413" s="35" t="str">
        <f>TRIM(data__2[[#This Row],[Month (old)]])</f>
        <v>May</v>
      </c>
      <c r="K413" s="35" t="str">
        <f>TRIM(data__2[[#This Row],[Symbol (old)]])</f>
        <v>BTCUSD</v>
      </c>
      <c r="L413" s="36" t="str">
        <f>LEFT(data__2[[#This Row],[Month (old2)]], 3)</f>
        <v>May</v>
      </c>
    </row>
    <row r="414" spans="2:12" x14ac:dyDescent="0.25">
      <c r="B414" s="33">
        <v>44319</v>
      </c>
      <c r="C414" s="34" t="s">
        <v>9</v>
      </c>
      <c r="D414" s="34" t="s">
        <v>18</v>
      </c>
      <c r="E414" s="13">
        <v>419198</v>
      </c>
      <c r="F414" s="13">
        <v>420939</v>
      </c>
      <c r="G414" s="13">
        <v>418803</v>
      </c>
      <c r="H414" s="13">
        <v>419266</v>
      </c>
      <c r="I414" s="13">
        <v>406117000000</v>
      </c>
      <c r="J414" s="35" t="str">
        <f>TRIM(data__2[[#This Row],[Month (old)]])</f>
        <v>May</v>
      </c>
      <c r="K414" s="35" t="str">
        <f>TRIM(data__2[[#This Row],[Symbol (old)]])</f>
        <v>SP500</v>
      </c>
      <c r="L414" s="36" t="str">
        <f>LEFT(data__2[[#This Row],[Month (old2)]], 3)</f>
        <v>May</v>
      </c>
    </row>
    <row r="415" spans="2:12" x14ac:dyDescent="0.25">
      <c r="B415" s="33">
        <v>44319</v>
      </c>
      <c r="C415" s="34" t="s">
        <v>9</v>
      </c>
      <c r="D415" s="34" t="s">
        <v>5</v>
      </c>
      <c r="E415" s="13">
        <v>5797074</v>
      </c>
      <c r="F415" s="13">
        <v>5898852</v>
      </c>
      <c r="G415" s="13">
        <v>5465465</v>
      </c>
      <c r="H415" s="13">
        <v>5551137</v>
      </c>
      <c r="I415" s="13">
        <v>236315</v>
      </c>
      <c r="J415" s="35" t="str">
        <f>TRIM(data__2[[#This Row],[Month (old)]])</f>
        <v>May</v>
      </c>
      <c r="K415" s="35" t="str">
        <f>TRIM(data__2[[#This Row],[Symbol (old)]])</f>
        <v>BTCUSD</v>
      </c>
      <c r="L415" s="36" t="str">
        <f>LEFT(data__2[[#This Row],[Month (old2)]], 3)</f>
        <v>May</v>
      </c>
    </row>
    <row r="416" spans="2:12" x14ac:dyDescent="0.25">
      <c r="B416" s="33">
        <v>44318</v>
      </c>
      <c r="C416" s="34" t="s">
        <v>9</v>
      </c>
      <c r="D416" s="34" t="s">
        <v>5</v>
      </c>
      <c r="E416" s="13">
        <v>5654740</v>
      </c>
      <c r="F416" s="13">
        <v>5829335</v>
      </c>
      <c r="G416" s="13">
        <v>5610440</v>
      </c>
      <c r="H416" s="13">
        <v>5797074</v>
      </c>
      <c r="I416" s="13">
        <v>65363</v>
      </c>
      <c r="J416" s="35" t="str">
        <f>TRIM(data__2[[#This Row],[Month (old)]])</f>
        <v>May</v>
      </c>
      <c r="K416" s="35" t="str">
        <f>TRIM(data__2[[#This Row],[Symbol (old)]])</f>
        <v>BTCUSD</v>
      </c>
      <c r="L416" s="36" t="str">
        <f>LEFT(data__2[[#This Row],[Month (old2)]], 3)</f>
        <v>May</v>
      </c>
    </row>
    <row r="417" spans="2:12" x14ac:dyDescent="0.25">
      <c r="B417" s="33">
        <v>44316</v>
      </c>
      <c r="C417" s="34" t="s">
        <v>21</v>
      </c>
      <c r="D417" s="34" t="s">
        <v>18</v>
      </c>
      <c r="E417" s="13">
        <v>419810</v>
      </c>
      <c r="F417" s="13">
        <v>419810</v>
      </c>
      <c r="G417" s="13">
        <v>417485</v>
      </c>
      <c r="H417" s="13">
        <v>418117</v>
      </c>
      <c r="I417" s="13">
        <v>427368000000</v>
      </c>
      <c r="J417" s="35" t="str">
        <f>TRIM(data__2[[#This Row],[Month (old)]])</f>
        <v>April</v>
      </c>
      <c r="K417" s="35" t="str">
        <f>TRIM(data__2[[#This Row],[Symbol (old)]])</f>
        <v>SP500</v>
      </c>
      <c r="L417" s="36" t="str">
        <f>LEFT(data__2[[#This Row],[Month (old2)]], 3)</f>
        <v>Apr</v>
      </c>
    </row>
    <row r="418" spans="2:12" x14ac:dyDescent="0.25">
      <c r="B418" s="33">
        <v>44316</v>
      </c>
      <c r="C418" s="34" t="s">
        <v>8</v>
      </c>
      <c r="D418" s="34" t="s">
        <v>5</v>
      </c>
      <c r="E418" s="13">
        <v>5375001</v>
      </c>
      <c r="F418" s="13">
        <v>5855371</v>
      </c>
      <c r="G418" s="13">
        <v>5375001</v>
      </c>
      <c r="H418" s="13">
        <v>5827225</v>
      </c>
      <c r="I418" s="13">
        <v>186951</v>
      </c>
      <c r="J418" s="35" t="str">
        <f>TRIM(data__2[[#This Row],[Month (old)]])</f>
        <v>Apr</v>
      </c>
      <c r="K418" s="35" t="str">
        <f>TRIM(data__2[[#This Row],[Symbol (old)]])</f>
        <v>BTCUSD</v>
      </c>
      <c r="L418" s="36" t="str">
        <f>LEFT(data__2[[#This Row],[Month (old2)]], 3)</f>
        <v>Apr</v>
      </c>
    </row>
    <row r="419" spans="2:12" x14ac:dyDescent="0.25">
      <c r="B419" s="33">
        <v>44315</v>
      </c>
      <c r="C419" s="34" t="s">
        <v>21</v>
      </c>
      <c r="D419" s="34" t="s">
        <v>18</v>
      </c>
      <c r="E419" s="13">
        <v>420614</v>
      </c>
      <c r="F419" s="13">
        <v>421878</v>
      </c>
      <c r="G419" s="13">
        <v>417681</v>
      </c>
      <c r="H419" s="13">
        <v>421147</v>
      </c>
      <c r="I419" s="13">
        <v>428894000000</v>
      </c>
      <c r="J419" s="35" t="str">
        <f>TRIM(data__2[[#This Row],[Month (old)]])</f>
        <v>April</v>
      </c>
      <c r="K419" s="35" t="str">
        <f>TRIM(data__2[[#This Row],[Symbol (old)]])</f>
        <v>SP500</v>
      </c>
      <c r="L419" s="36" t="str">
        <f>LEFT(data__2[[#This Row],[Month (old2)]], 3)</f>
        <v>Apr</v>
      </c>
    </row>
    <row r="420" spans="2:12" x14ac:dyDescent="0.25">
      <c r="B420" s="33">
        <v>44315</v>
      </c>
      <c r="C420" s="34" t="s">
        <v>8</v>
      </c>
      <c r="D420" s="34" t="s">
        <v>5</v>
      </c>
      <c r="E420" s="13">
        <v>5431241</v>
      </c>
      <c r="F420" s="13">
        <v>5475536</v>
      </c>
      <c r="G420" s="13">
        <v>5238942</v>
      </c>
      <c r="H420" s="13">
        <v>5375001</v>
      </c>
      <c r="I420" s="13">
        <v>156101</v>
      </c>
      <c r="J420" s="35" t="str">
        <f>TRIM(data__2[[#This Row],[Month (old)]])</f>
        <v>Apr</v>
      </c>
      <c r="K420" s="35" t="str">
        <f>TRIM(data__2[[#This Row],[Symbol (old)]])</f>
        <v>BTCUSD</v>
      </c>
      <c r="L420" s="36" t="str">
        <f>LEFT(data__2[[#This Row],[Month (old2)]], 3)</f>
        <v>Apr</v>
      </c>
    </row>
    <row r="421" spans="2:12" x14ac:dyDescent="0.25">
      <c r="B421" s="33">
        <v>44314</v>
      </c>
      <c r="C421" s="34" t="s">
        <v>21</v>
      </c>
      <c r="D421" s="34" t="s">
        <v>18</v>
      </c>
      <c r="E421" s="13">
        <v>418514</v>
      </c>
      <c r="F421" s="13">
        <v>420153</v>
      </c>
      <c r="G421" s="13">
        <v>418178</v>
      </c>
      <c r="H421" s="13">
        <v>418318</v>
      </c>
      <c r="I421" s="13">
        <v>377239000000</v>
      </c>
      <c r="J421" s="35" t="str">
        <f>TRIM(data__2[[#This Row],[Month (old)]])</f>
        <v>April</v>
      </c>
      <c r="K421" s="35" t="str">
        <f>TRIM(data__2[[#This Row],[Symbol (old)]])</f>
        <v>SP500</v>
      </c>
      <c r="L421" s="36" t="str">
        <f>LEFT(data__2[[#This Row],[Month (old2)]], 3)</f>
        <v>Apr</v>
      </c>
    </row>
    <row r="422" spans="2:12" x14ac:dyDescent="0.25">
      <c r="B422" s="33">
        <v>44314</v>
      </c>
      <c r="C422" s="34" t="s">
        <v>8</v>
      </c>
      <c r="D422" s="34" t="s">
        <v>5</v>
      </c>
      <c r="E422" s="13">
        <v>5488325</v>
      </c>
      <c r="F422" s="13">
        <v>5647472</v>
      </c>
      <c r="G422" s="13">
        <v>5386112</v>
      </c>
      <c r="H422" s="13">
        <v>5431241</v>
      </c>
      <c r="I422" s="13">
        <v>162845</v>
      </c>
      <c r="J422" s="35" t="str">
        <f>TRIM(data__2[[#This Row],[Month (old)]])</f>
        <v>Apr</v>
      </c>
      <c r="K422" s="35" t="str">
        <f>TRIM(data__2[[#This Row],[Symbol (old)]])</f>
        <v>BTCUSD</v>
      </c>
      <c r="L422" s="36" t="str">
        <f>LEFT(data__2[[#This Row],[Month (old2)]], 3)</f>
        <v>Apr</v>
      </c>
    </row>
    <row r="423" spans="2:12" x14ac:dyDescent="0.25">
      <c r="B423" s="33">
        <v>44313</v>
      </c>
      <c r="C423" s="34" t="s">
        <v>21</v>
      </c>
      <c r="D423" s="34" t="s">
        <v>18</v>
      </c>
      <c r="E423" s="13">
        <v>418825</v>
      </c>
      <c r="F423" s="13">
        <v>419335</v>
      </c>
      <c r="G423" s="13">
        <v>417622</v>
      </c>
      <c r="H423" s="13">
        <v>418672</v>
      </c>
      <c r="I423" s="13">
        <v>370324000000</v>
      </c>
      <c r="J423" s="35" t="str">
        <f>TRIM(data__2[[#This Row],[Month (old)]])</f>
        <v>April</v>
      </c>
      <c r="K423" s="35" t="str">
        <f>TRIM(data__2[[#This Row],[Symbol (old)]])</f>
        <v>SP500</v>
      </c>
      <c r="L423" s="36" t="str">
        <f>LEFT(data__2[[#This Row],[Month (old2)]], 3)</f>
        <v>Apr</v>
      </c>
    </row>
    <row r="424" spans="2:12" x14ac:dyDescent="0.25">
      <c r="B424" s="33">
        <v>44313</v>
      </c>
      <c r="C424" s="34" t="s">
        <v>8</v>
      </c>
      <c r="D424" s="34" t="s">
        <v>5</v>
      </c>
      <c r="E424" s="13">
        <v>5353194</v>
      </c>
      <c r="F424" s="13">
        <v>5580000</v>
      </c>
      <c r="G424" s="13">
        <v>5334562</v>
      </c>
      <c r="H424" s="13">
        <v>5488325</v>
      </c>
      <c r="I424" s="13">
        <v>150858</v>
      </c>
      <c r="J424" s="35" t="str">
        <f>TRIM(data__2[[#This Row],[Month (old)]])</f>
        <v>Apr</v>
      </c>
      <c r="K424" s="35" t="str">
        <f>TRIM(data__2[[#This Row],[Symbol (old)]])</f>
        <v>BTCUSD</v>
      </c>
      <c r="L424" s="36" t="str">
        <f>LEFT(data__2[[#This Row],[Month (old2)]], 3)</f>
        <v>Apr</v>
      </c>
    </row>
    <row r="425" spans="2:12" x14ac:dyDescent="0.25">
      <c r="B425" s="33">
        <v>44312</v>
      </c>
      <c r="C425" s="34" t="s">
        <v>21</v>
      </c>
      <c r="D425" s="34" t="s">
        <v>18</v>
      </c>
      <c r="E425" s="13">
        <v>418503</v>
      </c>
      <c r="F425" s="13">
        <v>419419</v>
      </c>
      <c r="G425" s="13">
        <v>418236</v>
      </c>
      <c r="H425" s="13">
        <v>418762</v>
      </c>
      <c r="I425" s="13">
        <v>373892000000</v>
      </c>
      <c r="J425" s="35" t="str">
        <f>TRIM(data__2[[#This Row],[Month (old)]])</f>
        <v>April</v>
      </c>
      <c r="K425" s="35" t="str">
        <f>TRIM(data__2[[#This Row],[Symbol (old)]])</f>
        <v>SP500</v>
      </c>
      <c r="L425" s="36" t="str">
        <f>LEFT(data__2[[#This Row],[Month (old2)]], 3)</f>
        <v>Apr</v>
      </c>
    </row>
    <row r="426" spans="2:12" x14ac:dyDescent="0.25">
      <c r="B426" s="33">
        <v>44312</v>
      </c>
      <c r="C426" s="34" t="s">
        <v>8</v>
      </c>
      <c r="D426" s="34" t="s">
        <v>5</v>
      </c>
      <c r="E426" s="13">
        <v>5243590</v>
      </c>
      <c r="F426" s="13">
        <v>5441957</v>
      </c>
      <c r="G426" s="13">
        <v>5209687</v>
      </c>
      <c r="H426" s="13">
        <v>5353194</v>
      </c>
      <c r="I426" s="13">
        <v>180488</v>
      </c>
      <c r="J426" s="35" t="str">
        <f>TRIM(data__2[[#This Row],[Month (old)]])</f>
        <v>Apr</v>
      </c>
      <c r="K426" s="35" t="str">
        <f>TRIM(data__2[[#This Row],[Symbol (old)]])</f>
        <v>BTCUSD</v>
      </c>
      <c r="L426" s="36" t="str">
        <f>LEFT(data__2[[#This Row],[Month (old2)]], 3)</f>
        <v>Apr</v>
      </c>
    </row>
    <row r="427" spans="2:12" x14ac:dyDescent="0.25">
      <c r="B427" s="33">
        <v>44311</v>
      </c>
      <c r="C427" s="34" t="s">
        <v>8</v>
      </c>
      <c r="D427" s="34" t="s">
        <v>5</v>
      </c>
      <c r="E427" s="13">
        <v>4972197</v>
      </c>
      <c r="F427" s="13">
        <v>5256777</v>
      </c>
      <c r="G427" s="13">
        <v>4700000</v>
      </c>
      <c r="H427" s="13">
        <v>5243590</v>
      </c>
      <c r="I427" s="13">
        <v>266293</v>
      </c>
      <c r="J427" s="35" t="str">
        <f>TRIM(data__2[[#This Row],[Month (old)]])</f>
        <v>Apr</v>
      </c>
      <c r="K427" s="35" t="str">
        <f>TRIM(data__2[[#This Row],[Symbol (old)]])</f>
        <v>BTCUSD</v>
      </c>
      <c r="L427" s="36" t="str">
        <f>LEFT(data__2[[#This Row],[Month (old2)]], 3)</f>
        <v>Apr</v>
      </c>
    </row>
    <row r="428" spans="2:12" x14ac:dyDescent="0.25">
      <c r="B428" s="33">
        <v>44310</v>
      </c>
      <c r="C428" s="34" t="s">
        <v>8</v>
      </c>
      <c r="D428" s="34" t="s">
        <v>5</v>
      </c>
      <c r="E428" s="13">
        <v>5019542</v>
      </c>
      <c r="F428" s="13">
        <v>5115001</v>
      </c>
      <c r="G428" s="13">
        <v>4875501</v>
      </c>
      <c r="H428" s="13">
        <v>4972197</v>
      </c>
      <c r="I428" s="13">
        <v>94326</v>
      </c>
      <c r="J428" s="35" t="str">
        <f>TRIM(data__2[[#This Row],[Month (old)]])</f>
        <v>Apr</v>
      </c>
      <c r="K428" s="35" t="str">
        <f>TRIM(data__2[[#This Row],[Symbol (old)]])</f>
        <v>BTCUSD</v>
      </c>
      <c r="L428" s="36" t="str">
        <f>LEFT(data__2[[#This Row],[Month (old2)]], 3)</f>
        <v>Apr</v>
      </c>
    </row>
    <row r="429" spans="2:12" x14ac:dyDescent="0.25">
      <c r="B429" s="33">
        <v>44309</v>
      </c>
      <c r="C429" s="34" t="s">
        <v>21</v>
      </c>
      <c r="D429" s="34" t="s">
        <v>18</v>
      </c>
      <c r="E429" s="13">
        <v>413878</v>
      </c>
      <c r="F429" s="13">
        <v>419417</v>
      </c>
      <c r="G429" s="13">
        <v>413878</v>
      </c>
      <c r="H429" s="13">
        <v>418017</v>
      </c>
      <c r="I429" s="13">
        <v>356808000000</v>
      </c>
      <c r="J429" s="35" t="str">
        <f>TRIM(data__2[[#This Row],[Month (old)]])</f>
        <v>April</v>
      </c>
      <c r="K429" s="35" t="str">
        <f>TRIM(data__2[[#This Row],[Symbol (old)]])</f>
        <v>SP500</v>
      </c>
      <c r="L429" s="36" t="str">
        <f>LEFT(data__2[[#This Row],[Month (old2)]], 3)</f>
        <v>Apr</v>
      </c>
    </row>
    <row r="430" spans="2:12" x14ac:dyDescent="0.25">
      <c r="B430" s="33">
        <v>44309</v>
      </c>
      <c r="C430" s="34" t="s">
        <v>8</v>
      </c>
      <c r="D430" s="34" t="s">
        <v>5</v>
      </c>
      <c r="E430" s="13">
        <v>5032966</v>
      </c>
      <c r="F430" s="13">
        <v>5138003</v>
      </c>
      <c r="G430" s="13">
        <v>4723100</v>
      </c>
      <c r="H430" s="13">
        <v>5019542</v>
      </c>
      <c r="I430" s="13">
        <v>325051</v>
      </c>
      <c r="J430" s="35" t="str">
        <f>TRIM(data__2[[#This Row],[Month (old)]])</f>
        <v>Apr</v>
      </c>
      <c r="K430" s="35" t="str">
        <f>TRIM(data__2[[#This Row],[Symbol (old)]])</f>
        <v>BTCUSD</v>
      </c>
      <c r="L430" s="36" t="str">
        <f>LEFT(data__2[[#This Row],[Month (old2)]], 3)</f>
        <v>Apr</v>
      </c>
    </row>
    <row r="431" spans="2:12" x14ac:dyDescent="0.25">
      <c r="B431" s="33">
        <v>44308</v>
      </c>
      <c r="C431" s="34" t="s">
        <v>21</v>
      </c>
      <c r="D431" s="34" t="s">
        <v>18</v>
      </c>
      <c r="E431" s="13">
        <v>417046</v>
      </c>
      <c r="F431" s="13">
        <v>417957</v>
      </c>
      <c r="G431" s="13">
        <v>412369</v>
      </c>
      <c r="H431" s="13">
        <v>413498</v>
      </c>
      <c r="I431" s="13">
        <v>423504000000</v>
      </c>
      <c r="J431" s="35" t="str">
        <f>TRIM(data__2[[#This Row],[Month (old)]])</f>
        <v>April</v>
      </c>
      <c r="K431" s="35" t="str">
        <f>TRIM(data__2[[#This Row],[Symbol (old)]])</f>
        <v>SP500</v>
      </c>
      <c r="L431" s="36" t="str">
        <f>LEFT(data__2[[#This Row],[Month (old2)]], 3)</f>
        <v>Apr</v>
      </c>
    </row>
    <row r="432" spans="2:12" x14ac:dyDescent="0.25">
      <c r="B432" s="33">
        <v>44308</v>
      </c>
      <c r="C432" s="34" t="s">
        <v>8</v>
      </c>
      <c r="D432" s="34" t="s">
        <v>5</v>
      </c>
      <c r="E432" s="13">
        <v>5350808</v>
      </c>
      <c r="F432" s="13">
        <v>5549999</v>
      </c>
      <c r="G432" s="13">
        <v>4856558</v>
      </c>
      <c r="H432" s="13">
        <v>5032966</v>
      </c>
      <c r="I432" s="13">
        <v>441570</v>
      </c>
      <c r="J432" s="35" t="str">
        <f>TRIM(data__2[[#This Row],[Month (old)]])</f>
        <v>Apr</v>
      </c>
      <c r="K432" s="35" t="str">
        <f>TRIM(data__2[[#This Row],[Symbol (old)]])</f>
        <v>BTCUSD</v>
      </c>
      <c r="L432" s="36" t="str">
        <f>LEFT(data__2[[#This Row],[Month (old2)]], 3)</f>
        <v>Apr</v>
      </c>
    </row>
    <row r="433" spans="2:12" x14ac:dyDescent="0.25">
      <c r="B433" s="33">
        <v>44307</v>
      </c>
      <c r="C433" s="34" t="s">
        <v>21</v>
      </c>
      <c r="D433" s="34" t="s">
        <v>18</v>
      </c>
      <c r="E433" s="13">
        <v>412842</v>
      </c>
      <c r="F433" s="13">
        <v>417502</v>
      </c>
      <c r="G433" s="13">
        <v>412635</v>
      </c>
      <c r="H433" s="13">
        <v>417342</v>
      </c>
      <c r="I433" s="13">
        <v>386582000000</v>
      </c>
      <c r="J433" s="35" t="str">
        <f>TRIM(data__2[[#This Row],[Month (old)]])</f>
        <v>April</v>
      </c>
      <c r="K433" s="35" t="str">
        <f>TRIM(data__2[[#This Row],[Symbol (old)]])</f>
        <v>SP500</v>
      </c>
      <c r="L433" s="36" t="str">
        <f>LEFT(data__2[[#This Row],[Month (old2)]], 3)</f>
        <v>Apr</v>
      </c>
    </row>
    <row r="434" spans="2:12" x14ac:dyDescent="0.25">
      <c r="B434" s="33">
        <v>44307</v>
      </c>
      <c r="C434" s="34" t="s">
        <v>8</v>
      </c>
      <c r="D434" s="34" t="s">
        <v>5</v>
      </c>
      <c r="E434" s="13">
        <v>5525557</v>
      </c>
      <c r="F434" s="13">
        <v>5637300</v>
      </c>
      <c r="G434" s="13">
        <v>5260000</v>
      </c>
      <c r="H434" s="13">
        <v>5350808</v>
      </c>
      <c r="I434" s="13">
        <v>224311</v>
      </c>
      <c r="J434" s="35" t="str">
        <f>TRIM(data__2[[#This Row],[Month (old)]])</f>
        <v>Apr</v>
      </c>
      <c r="K434" s="35" t="str">
        <f>TRIM(data__2[[#This Row],[Symbol (old)]])</f>
        <v>BTCUSD</v>
      </c>
      <c r="L434" s="36" t="str">
        <f>LEFT(data__2[[#This Row],[Month (old2)]], 3)</f>
        <v>Apr</v>
      </c>
    </row>
    <row r="435" spans="2:12" x14ac:dyDescent="0.25">
      <c r="B435" s="33">
        <v>44306</v>
      </c>
      <c r="C435" s="34" t="s">
        <v>21</v>
      </c>
      <c r="D435" s="34" t="s">
        <v>18</v>
      </c>
      <c r="E435" s="13">
        <v>415918</v>
      </c>
      <c r="F435" s="13">
        <v>415918</v>
      </c>
      <c r="G435" s="13">
        <v>411838</v>
      </c>
      <c r="H435" s="13">
        <v>413494</v>
      </c>
      <c r="I435" s="13">
        <v>433823000000</v>
      </c>
      <c r="J435" s="35" t="str">
        <f>TRIM(data__2[[#This Row],[Month (old)]])</f>
        <v>April</v>
      </c>
      <c r="K435" s="35" t="str">
        <f>TRIM(data__2[[#This Row],[Symbol (old)]])</f>
        <v>SP500</v>
      </c>
      <c r="L435" s="36" t="str">
        <f>LEFT(data__2[[#This Row],[Month (old2)]], 3)</f>
        <v>Apr</v>
      </c>
    </row>
    <row r="436" spans="2:12" x14ac:dyDescent="0.25">
      <c r="B436" s="33">
        <v>44306</v>
      </c>
      <c r="C436" s="34" t="s">
        <v>8</v>
      </c>
      <c r="D436" s="34" t="s">
        <v>5</v>
      </c>
      <c r="E436" s="13">
        <v>5458665</v>
      </c>
      <c r="F436" s="13">
        <v>5714534</v>
      </c>
      <c r="G436" s="13">
        <v>5341676</v>
      </c>
      <c r="H436" s="13">
        <v>5525557</v>
      </c>
      <c r="I436" s="13">
        <v>235391</v>
      </c>
      <c r="J436" s="35" t="str">
        <f>TRIM(data__2[[#This Row],[Month (old)]])</f>
        <v>Apr</v>
      </c>
      <c r="K436" s="35" t="str">
        <f>TRIM(data__2[[#This Row],[Symbol (old)]])</f>
        <v>BTCUSD</v>
      </c>
      <c r="L436" s="36" t="str">
        <f>LEFT(data__2[[#This Row],[Month (old2)]], 3)</f>
        <v>Apr</v>
      </c>
    </row>
    <row r="437" spans="2:12" x14ac:dyDescent="0.25">
      <c r="B437" s="33">
        <v>44305</v>
      </c>
      <c r="C437" s="34" t="s">
        <v>21</v>
      </c>
      <c r="D437" s="34" t="s">
        <v>18</v>
      </c>
      <c r="E437" s="13">
        <v>417980</v>
      </c>
      <c r="F437" s="13">
        <v>418081</v>
      </c>
      <c r="G437" s="13">
        <v>415047</v>
      </c>
      <c r="H437" s="13">
        <v>416326</v>
      </c>
      <c r="I437" s="13">
        <v>378802000000</v>
      </c>
      <c r="J437" s="35" t="str">
        <f>TRIM(data__2[[#This Row],[Month (old)]])</f>
        <v>April</v>
      </c>
      <c r="K437" s="35" t="str">
        <f>TRIM(data__2[[#This Row],[Symbol (old)]])</f>
        <v>SP500</v>
      </c>
      <c r="L437" s="36" t="str">
        <f>LEFT(data__2[[#This Row],[Month (old2)]], 3)</f>
        <v>Apr</v>
      </c>
    </row>
    <row r="438" spans="2:12" x14ac:dyDescent="0.25">
      <c r="B438" s="33">
        <v>44305</v>
      </c>
      <c r="C438" s="34" t="s">
        <v>8</v>
      </c>
      <c r="D438" s="34" t="s">
        <v>5</v>
      </c>
      <c r="E438" s="13">
        <v>5717561</v>
      </c>
      <c r="F438" s="13">
        <v>5762466</v>
      </c>
      <c r="G438" s="13">
        <v>5360641</v>
      </c>
      <c r="H438" s="13">
        <v>5458665</v>
      </c>
      <c r="I438" s="13">
        <v>283289</v>
      </c>
      <c r="J438" s="35" t="str">
        <f>TRIM(data__2[[#This Row],[Month (old)]])</f>
        <v>Apr</v>
      </c>
      <c r="K438" s="35" t="str">
        <f>TRIM(data__2[[#This Row],[Symbol (old)]])</f>
        <v>BTCUSD</v>
      </c>
      <c r="L438" s="36" t="str">
        <f>LEFT(data__2[[#This Row],[Month (old2)]], 3)</f>
        <v>Apr</v>
      </c>
    </row>
    <row r="439" spans="2:12" x14ac:dyDescent="0.25">
      <c r="B439" s="33">
        <v>44304</v>
      </c>
      <c r="C439" s="34" t="s">
        <v>8</v>
      </c>
      <c r="D439" s="34" t="s">
        <v>5</v>
      </c>
      <c r="E439" s="13">
        <v>5599297</v>
      </c>
      <c r="F439" s="13">
        <v>5740404</v>
      </c>
      <c r="G439" s="13">
        <v>5317636</v>
      </c>
      <c r="H439" s="13">
        <v>5717561</v>
      </c>
      <c r="I439" s="13">
        <v>372030</v>
      </c>
      <c r="J439" s="35" t="str">
        <f>TRIM(data__2[[#This Row],[Month (old)]])</f>
        <v>Apr</v>
      </c>
      <c r="K439" s="35" t="str">
        <f>TRIM(data__2[[#This Row],[Symbol (old)]])</f>
        <v>BTCUSD</v>
      </c>
      <c r="L439" s="36" t="str">
        <f>LEFT(data__2[[#This Row],[Month (old2)]], 3)</f>
        <v>Apr</v>
      </c>
    </row>
    <row r="440" spans="2:12" x14ac:dyDescent="0.25">
      <c r="B440" s="33">
        <v>44303</v>
      </c>
      <c r="C440" s="34" t="s">
        <v>8</v>
      </c>
      <c r="D440" s="34" t="s">
        <v>5</v>
      </c>
      <c r="E440" s="13">
        <v>6245000</v>
      </c>
      <c r="F440" s="13">
        <v>6254578</v>
      </c>
      <c r="G440" s="13">
        <v>5062232</v>
      </c>
      <c r="H440" s="13">
        <v>5599297</v>
      </c>
      <c r="I440" s="13">
        <v>258609</v>
      </c>
      <c r="J440" s="35" t="str">
        <f>TRIM(data__2[[#This Row],[Month (old)]])</f>
        <v>Apr</v>
      </c>
      <c r="K440" s="35" t="str">
        <f>TRIM(data__2[[#This Row],[Symbol (old)]])</f>
        <v>BTCUSD</v>
      </c>
      <c r="L440" s="36" t="str">
        <f>LEFT(data__2[[#This Row],[Month (old2)]], 3)</f>
        <v>Apr</v>
      </c>
    </row>
    <row r="441" spans="2:12" x14ac:dyDescent="0.25">
      <c r="B441" s="33">
        <v>44302</v>
      </c>
      <c r="C441" s="34" t="s">
        <v>21</v>
      </c>
      <c r="D441" s="34" t="s">
        <v>18</v>
      </c>
      <c r="E441" s="13">
        <v>417414</v>
      </c>
      <c r="F441" s="13">
        <v>419131</v>
      </c>
      <c r="G441" s="13">
        <v>417075</v>
      </c>
      <c r="H441" s="13">
        <v>418547</v>
      </c>
      <c r="I441" s="13">
        <v>415743000000</v>
      </c>
      <c r="J441" s="35" t="str">
        <f>TRIM(data__2[[#This Row],[Month (old)]])</f>
        <v>April</v>
      </c>
      <c r="K441" s="35" t="str">
        <f>TRIM(data__2[[#This Row],[Symbol (old)]])</f>
        <v>SP500</v>
      </c>
      <c r="L441" s="36" t="str">
        <f>LEFT(data__2[[#This Row],[Month (old2)]], 3)</f>
        <v>Apr</v>
      </c>
    </row>
    <row r="442" spans="2:12" x14ac:dyDescent="0.25">
      <c r="B442" s="33">
        <v>44302</v>
      </c>
      <c r="C442" s="34" t="s">
        <v>8</v>
      </c>
      <c r="D442" s="34" t="s">
        <v>5</v>
      </c>
      <c r="E442" s="13">
        <v>6299868</v>
      </c>
      <c r="F442" s="13">
        <v>6299868</v>
      </c>
      <c r="G442" s="13">
        <v>6005514</v>
      </c>
      <c r="H442" s="13">
        <v>6245000</v>
      </c>
      <c r="I442" s="13">
        <v>231960</v>
      </c>
      <c r="J442" s="35" t="str">
        <f>TRIM(data__2[[#This Row],[Month (old)]])</f>
        <v>Apr</v>
      </c>
      <c r="K442" s="35" t="str">
        <f>TRIM(data__2[[#This Row],[Symbol (old)]])</f>
        <v>BTCUSD</v>
      </c>
      <c r="L442" s="36" t="str">
        <f>LEFT(data__2[[#This Row],[Month (old2)]], 3)</f>
        <v>Apr</v>
      </c>
    </row>
    <row r="443" spans="2:12" x14ac:dyDescent="0.25">
      <c r="B443" s="33">
        <v>44301</v>
      </c>
      <c r="C443" s="34" t="s">
        <v>21</v>
      </c>
      <c r="D443" s="34" t="s">
        <v>18</v>
      </c>
      <c r="E443" s="13">
        <v>413976</v>
      </c>
      <c r="F443" s="13">
        <v>417349</v>
      </c>
      <c r="G443" s="13">
        <v>413976</v>
      </c>
      <c r="H443" s="13">
        <v>417042</v>
      </c>
      <c r="I443" s="13">
        <v>402768000000</v>
      </c>
      <c r="J443" s="35" t="str">
        <f>TRIM(data__2[[#This Row],[Month (old)]])</f>
        <v>April</v>
      </c>
      <c r="K443" s="35" t="str">
        <f>TRIM(data__2[[#This Row],[Symbol (old)]])</f>
        <v>SP500</v>
      </c>
      <c r="L443" s="36" t="str">
        <f>LEFT(data__2[[#This Row],[Month (old2)]], 3)</f>
        <v>Apr</v>
      </c>
    </row>
    <row r="444" spans="2:12" x14ac:dyDescent="0.25">
      <c r="B444" s="33">
        <v>44301</v>
      </c>
      <c r="C444" s="34" t="s">
        <v>8</v>
      </c>
      <c r="D444" s="34" t="s">
        <v>5</v>
      </c>
      <c r="E444" s="13">
        <v>6306372</v>
      </c>
      <c r="F444" s="13">
        <v>6385512</v>
      </c>
      <c r="G444" s="13">
        <v>6204500</v>
      </c>
      <c r="H444" s="13">
        <v>6299868</v>
      </c>
      <c r="I444" s="13">
        <v>132855</v>
      </c>
      <c r="J444" s="35" t="str">
        <f>TRIM(data__2[[#This Row],[Month (old)]])</f>
        <v>Apr</v>
      </c>
      <c r="K444" s="35" t="str">
        <f>TRIM(data__2[[#This Row],[Symbol (old)]])</f>
        <v>BTCUSD</v>
      </c>
      <c r="L444" s="36" t="str">
        <f>LEFT(data__2[[#This Row],[Month (old2)]], 3)</f>
        <v>Apr</v>
      </c>
    </row>
    <row r="445" spans="2:12" x14ac:dyDescent="0.25">
      <c r="B445" s="33">
        <v>44300</v>
      </c>
      <c r="C445" s="34" t="s">
        <v>21</v>
      </c>
      <c r="D445" s="34" t="s">
        <v>18</v>
      </c>
      <c r="E445" s="13">
        <v>414158</v>
      </c>
      <c r="F445" s="13">
        <v>415169</v>
      </c>
      <c r="G445" s="13">
        <v>412087</v>
      </c>
      <c r="H445" s="13">
        <v>412466</v>
      </c>
      <c r="I445" s="13">
        <v>397654000000</v>
      </c>
      <c r="J445" s="35" t="str">
        <f>TRIM(data__2[[#This Row],[Month (old)]])</f>
        <v>April</v>
      </c>
      <c r="K445" s="35" t="str">
        <f>TRIM(data__2[[#This Row],[Symbol (old)]])</f>
        <v>SP500</v>
      </c>
      <c r="L445" s="36" t="str">
        <f>LEFT(data__2[[#This Row],[Month (old2)]], 3)</f>
        <v>Apr</v>
      </c>
    </row>
    <row r="446" spans="2:12" x14ac:dyDescent="0.25">
      <c r="B446" s="33">
        <v>44300</v>
      </c>
      <c r="C446" s="34" t="s">
        <v>8</v>
      </c>
      <c r="D446" s="34" t="s">
        <v>5</v>
      </c>
      <c r="E446" s="13">
        <v>6377318</v>
      </c>
      <c r="F446" s="13">
        <v>6490000</v>
      </c>
      <c r="G446" s="13">
        <v>6130397</v>
      </c>
      <c r="H446" s="13">
        <v>6306372</v>
      </c>
      <c r="I446" s="13">
        <v>292203</v>
      </c>
      <c r="J446" s="35" t="str">
        <f>TRIM(data__2[[#This Row],[Month (old)]])</f>
        <v>Apr</v>
      </c>
      <c r="K446" s="35" t="str">
        <f>TRIM(data__2[[#This Row],[Symbol (old)]])</f>
        <v>BTCUSD</v>
      </c>
      <c r="L446" s="36" t="str">
        <f>LEFT(data__2[[#This Row],[Month (old2)]], 3)</f>
        <v>Apr</v>
      </c>
    </row>
    <row r="447" spans="2:12" x14ac:dyDescent="0.25">
      <c r="B447" s="33">
        <v>44299</v>
      </c>
      <c r="C447" s="34" t="s">
        <v>21</v>
      </c>
      <c r="D447" s="34" t="s">
        <v>18</v>
      </c>
      <c r="E447" s="13">
        <v>413010</v>
      </c>
      <c r="F447" s="13">
        <v>414800</v>
      </c>
      <c r="G447" s="13">
        <v>412443</v>
      </c>
      <c r="H447" s="13">
        <v>414159</v>
      </c>
      <c r="I447" s="13">
        <v>372844000000</v>
      </c>
      <c r="J447" s="35" t="str">
        <f>TRIM(data__2[[#This Row],[Month (old)]])</f>
        <v>April</v>
      </c>
      <c r="K447" s="35" t="str">
        <f>TRIM(data__2[[#This Row],[Symbol (old)]])</f>
        <v>SP500</v>
      </c>
      <c r="L447" s="36" t="str">
        <f>LEFT(data__2[[#This Row],[Month (old2)]], 3)</f>
        <v>Apr</v>
      </c>
    </row>
    <row r="448" spans="2:12" x14ac:dyDescent="0.25">
      <c r="B448" s="33">
        <v>44299</v>
      </c>
      <c r="C448" s="34" t="s">
        <v>8</v>
      </c>
      <c r="D448" s="34" t="s">
        <v>5</v>
      </c>
      <c r="E448" s="13">
        <v>6041591</v>
      </c>
      <c r="F448" s="13">
        <v>6388000</v>
      </c>
      <c r="G448" s="13">
        <v>6032112</v>
      </c>
      <c r="H448" s="13">
        <v>6377318</v>
      </c>
      <c r="I448" s="13">
        <v>209143</v>
      </c>
      <c r="J448" s="35" t="str">
        <f>TRIM(data__2[[#This Row],[Month (old)]])</f>
        <v>Apr</v>
      </c>
      <c r="K448" s="35" t="str">
        <f>TRIM(data__2[[#This Row],[Symbol (old)]])</f>
        <v>BTCUSD</v>
      </c>
      <c r="L448" s="36" t="str">
        <f>LEFT(data__2[[#This Row],[Month (old2)]], 3)</f>
        <v>Apr</v>
      </c>
    </row>
    <row r="449" spans="2:12" x14ac:dyDescent="0.25">
      <c r="B449" s="33">
        <v>44298</v>
      </c>
      <c r="C449" s="34" t="s">
        <v>21</v>
      </c>
      <c r="D449" s="34" t="s">
        <v>18</v>
      </c>
      <c r="E449" s="13">
        <v>412471</v>
      </c>
      <c r="F449" s="13">
        <v>413176</v>
      </c>
      <c r="G449" s="13">
        <v>411482</v>
      </c>
      <c r="H449" s="13">
        <v>412799</v>
      </c>
      <c r="I449" s="13">
        <v>357850000000</v>
      </c>
      <c r="J449" s="35" t="str">
        <f>TRIM(data__2[[#This Row],[Month (old)]])</f>
        <v>April</v>
      </c>
      <c r="K449" s="35" t="str">
        <f>TRIM(data__2[[#This Row],[Symbol (old)]])</f>
        <v>SP500</v>
      </c>
      <c r="L449" s="36" t="str">
        <f>LEFT(data__2[[#This Row],[Month (old2)]], 3)</f>
        <v>Apr</v>
      </c>
    </row>
    <row r="450" spans="2:12" x14ac:dyDescent="0.25">
      <c r="B450" s="33">
        <v>44298</v>
      </c>
      <c r="C450" s="34" t="s">
        <v>8</v>
      </c>
      <c r="D450" s="34" t="s">
        <v>5</v>
      </c>
      <c r="E450" s="13">
        <v>6032566</v>
      </c>
      <c r="F450" s="13">
        <v>6119709</v>
      </c>
      <c r="G450" s="13">
        <v>5940001</v>
      </c>
      <c r="H450" s="13">
        <v>6041591</v>
      </c>
      <c r="I450" s="13">
        <v>134329</v>
      </c>
      <c r="J450" s="35" t="str">
        <f>TRIM(data__2[[#This Row],[Month (old)]])</f>
        <v>Apr</v>
      </c>
      <c r="K450" s="35" t="str">
        <f>TRIM(data__2[[#This Row],[Symbol (old)]])</f>
        <v>BTCUSD</v>
      </c>
      <c r="L450" s="36" t="str">
        <f>LEFT(data__2[[#This Row],[Month (old2)]], 3)</f>
        <v>Apr</v>
      </c>
    </row>
    <row r="451" spans="2:12" x14ac:dyDescent="0.25">
      <c r="B451" s="33">
        <v>44297</v>
      </c>
      <c r="C451" s="34" t="s">
        <v>8</v>
      </c>
      <c r="D451" s="34" t="s">
        <v>5</v>
      </c>
      <c r="E451" s="13">
        <v>6024083</v>
      </c>
      <c r="F451" s="13">
        <v>6041642</v>
      </c>
      <c r="G451" s="13">
        <v>5920000</v>
      </c>
      <c r="H451" s="13">
        <v>6032566</v>
      </c>
      <c r="I451" s="13">
        <v>64447</v>
      </c>
      <c r="J451" s="35" t="str">
        <f>TRIM(data__2[[#This Row],[Month (old)]])</f>
        <v>Apr</v>
      </c>
      <c r="K451" s="35" t="str">
        <f>TRIM(data__2[[#This Row],[Symbol (old)]])</f>
        <v>BTCUSD</v>
      </c>
      <c r="L451" s="36" t="str">
        <f>LEFT(data__2[[#This Row],[Month (old2)]], 3)</f>
        <v>Apr</v>
      </c>
    </row>
    <row r="452" spans="2:12" x14ac:dyDescent="0.25">
      <c r="B452" s="33">
        <v>44296</v>
      </c>
      <c r="C452" s="34" t="s">
        <v>8</v>
      </c>
      <c r="D452" s="34" t="s">
        <v>5</v>
      </c>
      <c r="E452" s="13">
        <v>5916000</v>
      </c>
      <c r="F452" s="13">
        <v>6118000</v>
      </c>
      <c r="G452" s="13">
        <v>5831633</v>
      </c>
      <c r="H452" s="13">
        <v>6024083</v>
      </c>
      <c r="I452" s="13">
        <v>134477</v>
      </c>
      <c r="J452" s="35" t="str">
        <f>TRIM(data__2[[#This Row],[Month (old)]])</f>
        <v>Apr</v>
      </c>
      <c r="K452" s="35" t="str">
        <f>TRIM(data__2[[#This Row],[Symbol (old)]])</f>
        <v>BTCUSD</v>
      </c>
      <c r="L452" s="36" t="str">
        <f>LEFT(data__2[[#This Row],[Month (old2)]], 3)</f>
        <v>Apr</v>
      </c>
    </row>
    <row r="453" spans="2:12" x14ac:dyDescent="0.25">
      <c r="B453" s="33">
        <v>44295</v>
      </c>
      <c r="C453" s="34" t="s">
        <v>21</v>
      </c>
      <c r="D453" s="34" t="s">
        <v>18</v>
      </c>
      <c r="E453" s="13">
        <v>409611</v>
      </c>
      <c r="F453" s="13">
        <v>412948</v>
      </c>
      <c r="G453" s="13">
        <v>409551</v>
      </c>
      <c r="H453" s="13">
        <v>412880</v>
      </c>
      <c r="I453" s="13">
        <v>363491000000</v>
      </c>
      <c r="J453" s="35" t="str">
        <f>TRIM(data__2[[#This Row],[Month (old)]])</f>
        <v>April</v>
      </c>
      <c r="K453" s="35" t="str">
        <f>TRIM(data__2[[#This Row],[Symbol (old)]])</f>
        <v>SP500</v>
      </c>
      <c r="L453" s="36" t="str">
        <f>LEFT(data__2[[#This Row],[Month (old2)]], 3)</f>
        <v>Apr</v>
      </c>
    </row>
    <row r="454" spans="2:12" x14ac:dyDescent="0.25">
      <c r="B454" s="33">
        <v>44295</v>
      </c>
      <c r="C454" s="34" t="s">
        <v>8</v>
      </c>
      <c r="D454" s="34" t="s">
        <v>5</v>
      </c>
      <c r="E454" s="13">
        <v>5801419</v>
      </c>
      <c r="F454" s="13">
        <v>5917000</v>
      </c>
      <c r="G454" s="13">
        <v>5768972</v>
      </c>
      <c r="H454" s="13">
        <v>5916000</v>
      </c>
      <c r="I454" s="13">
        <v>93034</v>
      </c>
      <c r="J454" s="35" t="str">
        <f>TRIM(data__2[[#This Row],[Month (old)]])</f>
        <v>Apr</v>
      </c>
      <c r="K454" s="35" t="str">
        <f>TRIM(data__2[[#This Row],[Symbol (old)]])</f>
        <v>BTCUSD</v>
      </c>
      <c r="L454" s="36" t="str">
        <f>LEFT(data__2[[#This Row],[Month (old2)]], 3)</f>
        <v>Apr</v>
      </c>
    </row>
    <row r="455" spans="2:12" x14ac:dyDescent="0.25">
      <c r="B455" s="33">
        <v>44294</v>
      </c>
      <c r="C455" s="34" t="s">
        <v>21</v>
      </c>
      <c r="D455" s="34" t="s">
        <v>18</v>
      </c>
      <c r="E455" s="13">
        <v>408995</v>
      </c>
      <c r="F455" s="13">
        <v>409819</v>
      </c>
      <c r="G455" s="13">
        <v>408254</v>
      </c>
      <c r="H455" s="13">
        <v>409717</v>
      </c>
      <c r="I455" s="13">
        <v>390191000000</v>
      </c>
      <c r="J455" s="35" t="str">
        <f>TRIM(data__2[[#This Row],[Month (old)]])</f>
        <v>April</v>
      </c>
      <c r="K455" s="35" t="str">
        <f>TRIM(data__2[[#This Row],[Symbol (old)]])</f>
        <v>SP500</v>
      </c>
      <c r="L455" s="36" t="str">
        <f>LEFT(data__2[[#This Row],[Month (old2)]], 3)</f>
        <v>Apr</v>
      </c>
    </row>
    <row r="456" spans="2:12" x14ac:dyDescent="0.25">
      <c r="B456" s="33">
        <v>44294</v>
      </c>
      <c r="C456" s="34" t="s">
        <v>8</v>
      </c>
      <c r="D456" s="34" t="s">
        <v>5</v>
      </c>
      <c r="E456" s="13">
        <v>5655959</v>
      </c>
      <c r="F456" s="13">
        <v>5840000</v>
      </c>
      <c r="G456" s="13">
        <v>5637070</v>
      </c>
      <c r="H456" s="13">
        <v>5801419</v>
      </c>
      <c r="I456" s="13">
        <v>76292</v>
      </c>
      <c r="J456" s="35" t="str">
        <f>TRIM(data__2[[#This Row],[Month (old)]])</f>
        <v>Apr</v>
      </c>
      <c r="K456" s="35" t="str">
        <f>TRIM(data__2[[#This Row],[Symbol (old)]])</f>
        <v>BTCUSD</v>
      </c>
      <c r="L456" s="36" t="str">
        <f>LEFT(data__2[[#This Row],[Month (old2)]], 3)</f>
        <v>Apr</v>
      </c>
    </row>
    <row r="457" spans="2:12" x14ac:dyDescent="0.25">
      <c r="B457" s="33">
        <v>44293</v>
      </c>
      <c r="C457" s="34" t="s">
        <v>21</v>
      </c>
      <c r="D457" s="34" t="s">
        <v>18</v>
      </c>
      <c r="E457" s="13">
        <v>407429</v>
      </c>
      <c r="F457" s="13">
        <v>408313</v>
      </c>
      <c r="G457" s="13">
        <v>406831</v>
      </c>
      <c r="H457" s="13">
        <v>407995</v>
      </c>
      <c r="I457" s="13">
        <v>411264000000</v>
      </c>
      <c r="J457" s="35" t="str">
        <f>TRIM(data__2[[#This Row],[Month (old)]])</f>
        <v>April</v>
      </c>
      <c r="K457" s="35" t="str">
        <f>TRIM(data__2[[#This Row],[Symbol (old)]])</f>
        <v>SP500</v>
      </c>
      <c r="L457" s="36" t="str">
        <f>LEFT(data__2[[#This Row],[Month (old2)]], 3)</f>
        <v>Apr</v>
      </c>
    </row>
    <row r="458" spans="2:12" x14ac:dyDescent="0.25">
      <c r="B458" s="33">
        <v>44293</v>
      </c>
      <c r="C458" s="34" t="s">
        <v>8</v>
      </c>
      <c r="D458" s="34" t="s">
        <v>5</v>
      </c>
      <c r="E458" s="13">
        <v>5793416</v>
      </c>
      <c r="F458" s="13">
        <v>5867579</v>
      </c>
      <c r="G458" s="13">
        <v>5545000</v>
      </c>
      <c r="H458" s="13">
        <v>5655959</v>
      </c>
      <c r="I458" s="13">
        <v>199491</v>
      </c>
      <c r="J458" s="35" t="str">
        <f>TRIM(data__2[[#This Row],[Month (old)]])</f>
        <v>Apr</v>
      </c>
      <c r="K458" s="35" t="str">
        <f>TRIM(data__2[[#This Row],[Symbol (old)]])</f>
        <v>BTCUSD</v>
      </c>
      <c r="L458" s="36" t="str">
        <f>LEFT(data__2[[#This Row],[Month (old2)]], 3)</f>
        <v>Apr</v>
      </c>
    </row>
    <row r="459" spans="2:12" x14ac:dyDescent="0.25">
      <c r="B459" s="33">
        <v>44292</v>
      </c>
      <c r="C459" s="34" t="s">
        <v>21</v>
      </c>
      <c r="D459" s="34" t="s">
        <v>18</v>
      </c>
      <c r="E459" s="13">
        <v>407557</v>
      </c>
      <c r="F459" s="13">
        <v>408623</v>
      </c>
      <c r="G459" s="13">
        <v>406814</v>
      </c>
      <c r="H459" s="13">
        <v>407394</v>
      </c>
      <c r="I459" s="13">
        <v>402788000000</v>
      </c>
      <c r="J459" s="35" t="str">
        <f>TRIM(data__2[[#This Row],[Month (old)]])</f>
        <v>April</v>
      </c>
      <c r="K459" s="35" t="str">
        <f>TRIM(data__2[[#This Row],[Symbol (old)]])</f>
        <v>SP500</v>
      </c>
      <c r="L459" s="36" t="str">
        <f>LEFT(data__2[[#This Row],[Month (old2)]], 3)</f>
        <v>Apr</v>
      </c>
    </row>
    <row r="460" spans="2:12" x14ac:dyDescent="0.25">
      <c r="B460" s="33">
        <v>44292</v>
      </c>
      <c r="C460" s="34" t="s">
        <v>8</v>
      </c>
      <c r="D460" s="34" t="s">
        <v>5</v>
      </c>
      <c r="E460" s="13">
        <v>5863814</v>
      </c>
      <c r="F460" s="13">
        <v>5902819</v>
      </c>
      <c r="G460" s="13">
        <v>5725500</v>
      </c>
      <c r="H460" s="13">
        <v>5793416</v>
      </c>
      <c r="I460" s="13">
        <v>117372</v>
      </c>
      <c r="J460" s="35" t="str">
        <f>TRIM(data__2[[#This Row],[Month (old)]])</f>
        <v>Apr</v>
      </c>
      <c r="K460" s="35" t="str">
        <f>TRIM(data__2[[#This Row],[Symbol (old)]])</f>
        <v>BTCUSD</v>
      </c>
      <c r="L460" s="36" t="str">
        <f>LEFT(data__2[[#This Row],[Month (old2)]], 3)</f>
        <v>Apr</v>
      </c>
    </row>
    <row r="461" spans="2:12" x14ac:dyDescent="0.25">
      <c r="B461" s="33">
        <v>44291</v>
      </c>
      <c r="C461" s="34" t="s">
        <v>21</v>
      </c>
      <c r="D461" s="34" t="s">
        <v>18</v>
      </c>
      <c r="E461" s="13">
        <v>403444</v>
      </c>
      <c r="F461" s="13">
        <v>408342</v>
      </c>
      <c r="G461" s="13">
        <v>403444</v>
      </c>
      <c r="H461" s="13">
        <v>407791</v>
      </c>
      <c r="I461" s="13">
        <v>399976000000</v>
      </c>
      <c r="J461" s="35" t="str">
        <f>TRIM(data__2[[#This Row],[Month (old)]])</f>
        <v>April</v>
      </c>
      <c r="K461" s="35" t="str">
        <f>TRIM(data__2[[#This Row],[Symbol (old)]])</f>
        <v>SP500</v>
      </c>
      <c r="L461" s="36" t="str">
        <f>LEFT(data__2[[#This Row],[Month (old2)]], 3)</f>
        <v>Apr</v>
      </c>
    </row>
    <row r="462" spans="2:12" x14ac:dyDescent="0.25">
      <c r="B462" s="33">
        <v>44291</v>
      </c>
      <c r="C462" s="34" t="s">
        <v>8</v>
      </c>
      <c r="D462" s="34" t="s">
        <v>5</v>
      </c>
      <c r="E462" s="13">
        <v>5747964</v>
      </c>
      <c r="F462" s="13">
        <v>5946895</v>
      </c>
      <c r="G462" s="13">
        <v>5681028</v>
      </c>
      <c r="H462" s="13">
        <v>5863814</v>
      </c>
      <c r="I462" s="13">
        <v>84518</v>
      </c>
      <c r="J462" s="35" t="str">
        <f>TRIM(data__2[[#This Row],[Month (old)]])</f>
        <v>Apr</v>
      </c>
      <c r="K462" s="35" t="str">
        <f>TRIM(data__2[[#This Row],[Symbol (old)]])</f>
        <v>BTCUSD</v>
      </c>
      <c r="L462" s="36" t="str">
        <f>LEFT(data__2[[#This Row],[Month (old2)]], 3)</f>
        <v>Apr</v>
      </c>
    </row>
    <row r="463" spans="2:12" x14ac:dyDescent="0.25">
      <c r="B463" s="33">
        <v>44290</v>
      </c>
      <c r="C463" s="34" t="s">
        <v>8</v>
      </c>
      <c r="D463" s="34" t="s">
        <v>5</v>
      </c>
      <c r="E463" s="13">
        <v>5755771</v>
      </c>
      <c r="F463" s="13">
        <v>5850094</v>
      </c>
      <c r="G463" s="13">
        <v>5704253</v>
      </c>
      <c r="H463" s="13">
        <v>5747964</v>
      </c>
      <c r="I463" s="13">
        <v>28830</v>
      </c>
      <c r="J463" s="35" t="str">
        <f>TRIM(data__2[[#This Row],[Month (old)]])</f>
        <v>Apr</v>
      </c>
      <c r="K463" s="35" t="str">
        <f>TRIM(data__2[[#This Row],[Symbol (old)]])</f>
        <v>BTCUSD</v>
      </c>
      <c r="L463" s="36" t="str">
        <f>LEFT(data__2[[#This Row],[Month (old2)]], 3)</f>
        <v>Apr</v>
      </c>
    </row>
    <row r="464" spans="2:12" x14ac:dyDescent="0.25">
      <c r="B464" s="33">
        <v>44289</v>
      </c>
      <c r="C464" s="34" t="s">
        <v>8</v>
      </c>
      <c r="D464" s="34" t="s">
        <v>5</v>
      </c>
      <c r="E464" s="13">
        <v>5925104</v>
      </c>
      <c r="F464" s="13">
        <v>5985152</v>
      </c>
      <c r="G464" s="13">
        <v>5650000</v>
      </c>
      <c r="H464" s="13">
        <v>5755771</v>
      </c>
      <c r="I464" s="13">
        <v>83445</v>
      </c>
      <c r="J464" s="35" t="str">
        <f>TRIM(data__2[[#This Row],[Month (old)]])</f>
        <v>Apr</v>
      </c>
      <c r="K464" s="35" t="str">
        <f>TRIM(data__2[[#This Row],[Symbol (old)]])</f>
        <v>BTCUSD</v>
      </c>
      <c r="L464" s="36" t="str">
        <f>LEFT(data__2[[#This Row],[Month (old2)]], 3)</f>
        <v>Apr</v>
      </c>
    </row>
    <row r="465" spans="2:12" x14ac:dyDescent="0.25">
      <c r="B465" s="33">
        <v>44288</v>
      </c>
      <c r="C465" s="34" t="s">
        <v>8</v>
      </c>
      <c r="D465" s="34" t="s">
        <v>5</v>
      </c>
      <c r="E465" s="13">
        <v>5980000</v>
      </c>
      <c r="F465" s="13">
        <v>5995000</v>
      </c>
      <c r="G465" s="13">
        <v>5848568</v>
      </c>
      <c r="H465" s="13">
        <v>5925104</v>
      </c>
      <c r="I465" s="13">
        <v>76064</v>
      </c>
      <c r="J465" s="35" t="str">
        <f>TRIM(data__2[[#This Row],[Month (old)]])</f>
        <v>Apr</v>
      </c>
      <c r="K465" s="35" t="str">
        <f>TRIM(data__2[[#This Row],[Symbol (old)]])</f>
        <v>BTCUSD</v>
      </c>
      <c r="L465" s="36" t="str">
        <f>LEFT(data__2[[#This Row],[Month (old2)]], 3)</f>
        <v>Apr</v>
      </c>
    </row>
    <row r="466" spans="2:12" x14ac:dyDescent="0.25">
      <c r="B466" s="33">
        <v>44287</v>
      </c>
      <c r="C466" s="34" t="s">
        <v>21</v>
      </c>
      <c r="D466" s="34" t="s">
        <v>18</v>
      </c>
      <c r="E466" s="13">
        <v>399278</v>
      </c>
      <c r="F466" s="13">
        <v>402063</v>
      </c>
      <c r="G466" s="13">
        <v>399278</v>
      </c>
      <c r="H466" s="13">
        <v>401987</v>
      </c>
      <c r="I466" s="13">
        <v>415124000000</v>
      </c>
      <c r="J466" s="35" t="str">
        <f>TRIM(data__2[[#This Row],[Month (old)]])</f>
        <v>April</v>
      </c>
      <c r="K466" s="35" t="str">
        <f>TRIM(data__2[[#This Row],[Symbol (old)]])</f>
        <v>SP500</v>
      </c>
      <c r="L466" s="36" t="str">
        <f>LEFT(data__2[[#This Row],[Month (old2)]], 3)</f>
        <v>Apr</v>
      </c>
    </row>
    <row r="467" spans="2:12" x14ac:dyDescent="0.25">
      <c r="B467" s="33">
        <v>44287</v>
      </c>
      <c r="C467" s="34" t="s">
        <v>8</v>
      </c>
      <c r="D467" s="34" t="s">
        <v>5</v>
      </c>
      <c r="E467" s="13">
        <v>5914358</v>
      </c>
      <c r="F467" s="13">
        <v>6010000</v>
      </c>
      <c r="G467" s="13">
        <v>5794628</v>
      </c>
      <c r="H467" s="13">
        <v>5980000</v>
      </c>
      <c r="I467" s="13">
        <v>122100</v>
      </c>
      <c r="J467" s="35" t="str">
        <f>TRIM(data__2[[#This Row],[Month (old)]])</f>
        <v>Apr</v>
      </c>
      <c r="K467" s="35" t="str">
        <f>TRIM(data__2[[#This Row],[Symbol (old)]])</f>
        <v>BTCUSD</v>
      </c>
      <c r="L467" s="36" t="str">
        <f>LEFT(data__2[[#This Row],[Month (old2)]], 3)</f>
        <v>Apr</v>
      </c>
    </row>
    <row r="468" spans="2:12" x14ac:dyDescent="0.25">
      <c r="B468" s="33">
        <v>44286</v>
      </c>
      <c r="C468" s="34" t="s">
        <v>20</v>
      </c>
      <c r="D468" s="34" t="s">
        <v>18</v>
      </c>
      <c r="E468" s="13">
        <v>396725</v>
      </c>
      <c r="F468" s="13">
        <v>399441</v>
      </c>
      <c r="G468" s="13">
        <v>396698</v>
      </c>
      <c r="H468" s="13">
        <v>397289</v>
      </c>
      <c r="I468" s="13">
        <v>456498000000</v>
      </c>
      <c r="J468" s="35" t="str">
        <f>TRIM(data__2[[#This Row],[Month (old)]])</f>
        <v>March</v>
      </c>
      <c r="K468" s="35" t="str">
        <f>TRIM(data__2[[#This Row],[Symbol (old)]])</f>
        <v>SP500</v>
      </c>
      <c r="L468" s="36" t="str">
        <f>LEFT(data__2[[#This Row],[Month (old2)]], 3)</f>
        <v>Mar</v>
      </c>
    </row>
    <row r="469" spans="2:12" x14ac:dyDescent="0.25">
      <c r="B469" s="33">
        <v>44286</v>
      </c>
      <c r="C469" s="34" t="s">
        <v>7</v>
      </c>
      <c r="D469" s="34" t="s">
        <v>5</v>
      </c>
      <c r="E469" s="13">
        <v>5862167</v>
      </c>
      <c r="F469" s="13">
        <v>5980000</v>
      </c>
      <c r="G469" s="13">
        <v>5688000</v>
      </c>
      <c r="H469" s="13">
        <v>5914358</v>
      </c>
      <c r="I469" s="13">
        <v>167955</v>
      </c>
      <c r="J469" s="35" t="str">
        <f>TRIM(data__2[[#This Row],[Month (old)]])</f>
        <v>Mar</v>
      </c>
      <c r="K469" s="35" t="str">
        <f>TRIM(data__2[[#This Row],[Symbol (old)]])</f>
        <v>BTCUSD</v>
      </c>
      <c r="L469" s="36" t="str">
        <f>LEFT(data__2[[#This Row],[Month (old2)]], 3)</f>
        <v>Mar</v>
      </c>
    </row>
    <row r="470" spans="2:12" x14ac:dyDescent="0.25">
      <c r="B470" s="33">
        <v>44285</v>
      </c>
      <c r="C470" s="34" t="s">
        <v>20</v>
      </c>
      <c r="D470" s="34" t="s">
        <v>18</v>
      </c>
      <c r="E470" s="13">
        <v>396334</v>
      </c>
      <c r="F470" s="13">
        <v>396801</v>
      </c>
      <c r="G470" s="13">
        <v>394435</v>
      </c>
      <c r="H470" s="13">
        <v>395855</v>
      </c>
      <c r="I470" s="13">
        <v>410357000000</v>
      </c>
      <c r="J470" s="35" t="str">
        <f>TRIM(data__2[[#This Row],[Month (old)]])</f>
        <v>March</v>
      </c>
      <c r="K470" s="35" t="str">
        <f>TRIM(data__2[[#This Row],[Symbol (old)]])</f>
        <v>SP500</v>
      </c>
      <c r="L470" s="36" t="str">
        <f>LEFT(data__2[[#This Row],[Month (old2)]], 3)</f>
        <v>Mar</v>
      </c>
    </row>
    <row r="471" spans="2:12" x14ac:dyDescent="0.25">
      <c r="B471" s="33">
        <v>44285</v>
      </c>
      <c r="C471" s="34" t="s">
        <v>7</v>
      </c>
      <c r="D471" s="34" t="s">
        <v>5</v>
      </c>
      <c r="E471" s="13">
        <v>5715581</v>
      </c>
      <c r="F471" s="13">
        <v>5938500</v>
      </c>
      <c r="G471" s="13">
        <v>5702440</v>
      </c>
      <c r="H471" s="13">
        <v>5862167</v>
      </c>
      <c r="I471" s="13">
        <v>93397</v>
      </c>
      <c r="J471" s="35" t="str">
        <f>TRIM(data__2[[#This Row],[Month (old)]])</f>
        <v>Mar</v>
      </c>
      <c r="K471" s="35" t="str">
        <f>TRIM(data__2[[#This Row],[Symbol (old)]])</f>
        <v>BTCUSD</v>
      </c>
      <c r="L471" s="36" t="str">
        <f>LEFT(data__2[[#This Row],[Month (old2)]], 3)</f>
        <v>Mar</v>
      </c>
    </row>
    <row r="472" spans="2:12" x14ac:dyDescent="0.25">
      <c r="B472" s="33">
        <v>44284</v>
      </c>
      <c r="C472" s="34" t="s">
        <v>20</v>
      </c>
      <c r="D472" s="34" t="s">
        <v>18</v>
      </c>
      <c r="E472" s="13">
        <v>396931</v>
      </c>
      <c r="F472" s="13">
        <v>398183</v>
      </c>
      <c r="G472" s="13">
        <v>394325</v>
      </c>
      <c r="H472" s="13">
        <v>397109</v>
      </c>
      <c r="I472" s="13">
        <v>461984000000</v>
      </c>
      <c r="J472" s="35" t="str">
        <f>TRIM(data__2[[#This Row],[Month (old)]])</f>
        <v>March</v>
      </c>
      <c r="K472" s="35" t="str">
        <f>TRIM(data__2[[#This Row],[Symbol (old)]])</f>
        <v>SP500</v>
      </c>
      <c r="L472" s="36" t="str">
        <f>LEFT(data__2[[#This Row],[Month (old2)]], 3)</f>
        <v>Mar</v>
      </c>
    </row>
    <row r="473" spans="2:12" x14ac:dyDescent="0.25">
      <c r="B473" s="33">
        <v>44284</v>
      </c>
      <c r="C473" s="34" t="s">
        <v>7</v>
      </c>
      <c r="D473" s="34" t="s">
        <v>5</v>
      </c>
      <c r="E473" s="13">
        <v>5535100</v>
      </c>
      <c r="F473" s="13">
        <v>5843077</v>
      </c>
      <c r="G473" s="13">
        <v>5488909</v>
      </c>
      <c r="H473" s="13">
        <v>5715581</v>
      </c>
      <c r="I473" s="13">
        <v>202026</v>
      </c>
      <c r="J473" s="35" t="str">
        <f>TRIM(data__2[[#This Row],[Month (old)]])</f>
        <v>Mar</v>
      </c>
      <c r="K473" s="35" t="str">
        <f>TRIM(data__2[[#This Row],[Symbol (old)]])</f>
        <v>BTCUSD</v>
      </c>
      <c r="L473" s="36" t="str">
        <f>LEFT(data__2[[#This Row],[Month (old2)]], 3)</f>
        <v>Mar</v>
      </c>
    </row>
    <row r="474" spans="2:12" x14ac:dyDescent="0.25">
      <c r="B474" s="33">
        <v>44283</v>
      </c>
      <c r="C474" s="34" t="s">
        <v>7</v>
      </c>
      <c r="D474" s="34" t="s">
        <v>5</v>
      </c>
      <c r="E474" s="13">
        <v>5609403</v>
      </c>
      <c r="F474" s="13">
        <v>5657623</v>
      </c>
      <c r="G474" s="13">
        <v>5471101</v>
      </c>
      <c r="H474" s="13">
        <v>5535100</v>
      </c>
      <c r="I474" s="13">
        <v>45344</v>
      </c>
      <c r="J474" s="35" t="str">
        <f>TRIM(data__2[[#This Row],[Month (old)]])</f>
        <v>Mar</v>
      </c>
      <c r="K474" s="35" t="str">
        <f>TRIM(data__2[[#This Row],[Symbol (old)]])</f>
        <v>BTCUSD</v>
      </c>
      <c r="L474" s="36" t="str">
        <f>LEFT(data__2[[#This Row],[Month (old2)]], 3)</f>
        <v>Mar</v>
      </c>
    </row>
    <row r="475" spans="2:12" x14ac:dyDescent="0.25">
      <c r="B475" s="33">
        <v>44282</v>
      </c>
      <c r="C475" s="34" t="s">
        <v>7</v>
      </c>
      <c r="D475" s="34" t="s">
        <v>5</v>
      </c>
      <c r="E475" s="13">
        <v>5480402</v>
      </c>
      <c r="F475" s="13">
        <v>5662433</v>
      </c>
      <c r="G475" s="13">
        <v>5399000</v>
      </c>
      <c r="H475" s="13">
        <v>5609403</v>
      </c>
      <c r="I475" s="13">
        <v>73037</v>
      </c>
      <c r="J475" s="35" t="str">
        <f>TRIM(data__2[[#This Row],[Month (old)]])</f>
        <v>Mar</v>
      </c>
      <c r="K475" s="35" t="str">
        <f>TRIM(data__2[[#This Row],[Symbol (old)]])</f>
        <v>BTCUSD</v>
      </c>
      <c r="L475" s="36" t="str">
        <f>LEFT(data__2[[#This Row],[Month (old2)]], 3)</f>
        <v>Mar</v>
      </c>
    </row>
    <row r="476" spans="2:12" x14ac:dyDescent="0.25">
      <c r="B476" s="33">
        <v>44281</v>
      </c>
      <c r="C476" s="34" t="s">
        <v>20</v>
      </c>
      <c r="D476" s="34" t="s">
        <v>18</v>
      </c>
      <c r="E476" s="13">
        <v>391712</v>
      </c>
      <c r="F476" s="13">
        <v>397819</v>
      </c>
      <c r="G476" s="13">
        <v>391712</v>
      </c>
      <c r="H476" s="13">
        <v>397454</v>
      </c>
      <c r="I476" s="13">
        <v>546785000000</v>
      </c>
      <c r="J476" s="35" t="str">
        <f>TRIM(data__2[[#This Row],[Month (old)]])</f>
        <v>March</v>
      </c>
      <c r="K476" s="35" t="str">
        <f>TRIM(data__2[[#This Row],[Symbol (old)]])</f>
        <v>SP500</v>
      </c>
      <c r="L476" s="36" t="str">
        <f>LEFT(data__2[[#This Row],[Month (old2)]], 3)</f>
        <v>Mar</v>
      </c>
    </row>
    <row r="477" spans="2:12" x14ac:dyDescent="0.25">
      <c r="B477" s="33">
        <v>44281</v>
      </c>
      <c r="C477" s="34" t="s">
        <v>7</v>
      </c>
      <c r="D477" s="34" t="s">
        <v>5</v>
      </c>
      <c r="E477" s="13">
        <v>5245080</v>
      </c>
      <c r="F477" s="13">
        <v>5562721</v>
      </c>
      <c r="G477" s="13">
        <v>5220536</v>
      </c>
      <c r="H477" s="13">
        <v>5480402</v>
      </c>
      <c r="I477" s="13">
        <v>165531</v>
      </c>
      <c r="J477" s="35" t="str">
        <f>TRIM(data__2[[#This Row],[Month (old)]])</f>
        <v>Mar</v>
      </c>
      <c r="K477" s="35" t="str">
        <f>TRIM(data__2[[#This Row],[Symbol (old)]])</f>
        <v>BTCUSD</v>
      </c>
      <c r="L477" s="36" t="str">
        <f>LEFT(data__2[[#This Row],[Month (old2)]], 3)</f>
        <v>Mar</v>
      </c>
    </row>
    <row r="478" spans="2:12" x14ac:dyDescent="0.25">
      <c r="B478" s="33">
        <v>44280</v>
      </c>
      <c r="C478" s="34" t="s">
        <v>20</v>
      </c>
      <c r="D478" s="34" t="s">
        <v>18</v>
      </c>
      <c r="E478" s="13">
        <v>387934</v>
      </c>
      <c r="F478" s="13">
        <v>391954</v>
      </c>
      <c r="G478" s="13">
        <v>385350</v>
      </c>
      <c r="H478" s="13">
        <v>390952</v>
      </c>
      <c r="I478" s="13">
        <v>494080000000</v>
      </c>
      <c r="J478" s="35" t="str">
        <f>TRIM(data__2[[#This Row],[Month (old)]])</f>
        <v>March</v>
      </c>
      <c r="K478" s="35" t="str">
        <f>TRIM(data__2[[#This Row],[Symbol (old)]])</f>
        <v>SP500</v>
      </c>
      <c r="L478" s="36" t="str">
        <f>LEFT(data__2[[#This Row],[Month (old2)]], 3)</f>
        <v>Mar</v>
      </c>
    </row>
    <row r="479" spans="2:12" x14ac:dyDescent="0.25">
      <c r="B479" s="33">
        <v>44280</v>
      </c>
      <c r="C479" s="34" t="s">
        <v>7</v>
      </c>
      <c r="D479" s="34" t="s">
        <v>5</v>
      </c>
      <c r="E479" s="13">
        <v>5215285</v>
      </c>
      <c r="F479" s="13">
        <v>5323452</v>
      </c>
      <c r="G479" s="13">
        <v>5038701</v>
      </c>
      <c r="H479" s="13">
        <v>5245080</v>
      </c>
      <c r="I479" s="13">
        <v>173699</v>
      </c>
      <c r="J479" s="35" t="str">
        <f>TRIM(data__2[[#This Row],[Month (old)]])</f>
        <v>Mar</v>
      </c>
      <c r="K479" s="35" t="str">
        <f>TRIM(data__2[[#This Row],[Symbol (old)]])</f>
        <v>BTCUSD</v>
      </c>
      <c r="L479" s="36" t="str">
        <f>LEFT(data__2[[#This Row],[Month (old2)]], 3)</f>
        <v>Mar</v>
      </c>
    </row>
    <row r="480" spans="2:12" x14ac:dyDescent="0.25">
      <c r="B480" s="33">
        <v>44279</v>
      </c>
      <c r="C480" s="34" t="s">
        <v>20</v>
      </c>
      <c r="D480" s="34" t="s">
        <v>18</v>
      </c>
      <c r="E480" s="13">
        <v>391993</v>
      </c>
      <c r="F480" s="13">
        <v>394208</v>
      </c>
      <c r="G480" s="13">
        <v>388907</v>
      </c>
      <c r="H480" s="13">
        <v>388914</v>
      </c>
      <c r="I480" s="13">
        <v>476699000000</v>
      </c>
      <c r="J480" s="35" t="str">
        <f>TRIM(data__2[[#This Row],[Month (old)]])</f>
        <v>March</v>
      </c>
      <c r="K480" s="35" t="str">
        <f>TRIM(data__2[[#This Row],[Symbol (old)]])</f>
        <v>SP500</v>
      </c>
      <c r="L480" s="36" t="str">
        <f>LEFT(data__2[[#This Row],[Month (old2)]], 3)</f>
        <v>Mar</v>
      </c>
    </row>
    <row r="481" spans="2:12" x14ac:dyDescent="0.25">
      <c r="B481" s="33">
        <v>44279</v>
      </c>
      <c r="C481" s="34" t="s">
        <v>7</v>
      </c>
      <c r="D481" s="34" t="s">
        <v>5</v>
      </c>
      <c r="E481" s="13">
        <v>5437512</v>
      </c>
      <c r="F481" s="13">
        <v>5724500</v>
      </c>
      <c r="G481" s="13">
        <v>5153389</v>
      </c>
      <c r="H481" s="13">
        <v>5215285</v>
      </c>
      <c r="I481" s="13">
        <v>255602</v>
      </c>
      <c r="J481" s="35" t="str">
        <f>TRIM(data__2[[#This Row],[Month (old)]])</f>
        <v>Mar</v>
      </c>
      <c r="K481" s="35" t="str">
        <f>TRIM(data__2[[#This Row],[Symbol (old)]])</f>
        <v>BTCUSD</v>
      </c>
      <c r="L481" s="36" t="str">
        <f>LEFT(data__2[[#This Row],[Month (old2)]], 3)</f>
        <v>Mar</v>
      </c>
    </row>
    <row r="482" spans="2:12" x14ac:dyDescent="0.25">
      <c r="B482" s="33">
        <v>44278</v>
      </c>
      <c r="C482" s="34" t="s">
        <v>20</v>
      </c>
      <c r="D482" s="34" t="s">
        <v>18</v>
      </c>
      <c r="E482" s="13">
        <v>393760</v>
      </c>
      <c r="F482" s="13">
        <v>394913</v>
      </c>
      <c r="G482" s="13">
        <v>390157</v>
      </c>
      <c r="H482" s="13">
        <v>391052</v>
      </c>
      <c r="I482" s="13">
        <v>464534000000</v>
      </c>
      <c r="J482" s="35" t="str">
        <f>TRIM(data__2[[#This Row],[Month (old)]])</f>
        <v>March</v>
      </c>
      <c r="K482" s="35" t="str">
        <f>TRIM(data__2[[#This Row],[Symbol (old)]])</f>
        <v>SP500</v>
      </c>
      <c r="L482" s="36" t="str">
        <f>LEFT(data__2[[#This Row],[Month (old2)]], 3)</f>
        <v>Mar</v>
      </c>
    </row>
    <row r="483" spans="2:12" x14ac:dyDescent="0.25">
      <c r="B483" s="33">
        <v>44278</v>
      </c>
      <c r="C483" s="34" t="s">
        <v>7</v>
      </c>
      <c r="D483" s="34" t="s">
        <v>5</v>
      </c>
      <c r="E483" s="13">
        <v>5471081</v>
      </c>
      <c r="F483" s="13">
        <v>5590362</v>
      </c>
      <c r="G483" s="13">
        <v>5300000</v>
      </c>
      <c r="H483" s="13">
        <v>5437512</v>
      </c>
      <c r="I483" s="13">
        <v>191614</v>
      </c>
      <c r="J483" s="35" t="str">
        <f>TRIM(data__2[[#This Row],[Month (old)]])</f>
        <v>Mar</v>
      </c>
      <c r="K483" s="35" t="str">
        <f>TRIM(data__2[[#This Row],[Symbol (old)]])</f>
        <v>BTCUSD</v>
      </c>
      <c r="L483" s="36" t="str">
        <f>LEFT(data__2[[#This Row],[Month (old2)]], 3)</f>
        <v>Mar</v>
      </c>
    </row>
    <row r="484" spans="2:12" x14ac:dyDescent="0.25">
      <c r="B484" s="33">
        <v>44277</v>
      </c>
      <c r="C484" s="34" t="s">
        <v>20</v>
      </c>
      <c r="D484" s="34" t="s">
        <v>18</v>
      </c>
      <c r="E484" s="13">
        <v>391648</v>
      </c>
      <c r="F484" s="13">
        <v>395531</v>
      </c>
      <c r="G484" s="13">
        <v>391416</v>
      </c>
      <c r="H484" s="13">
        <v>394059</v>
      </c>
      <c r="I484" s="13">
        <v>431138000000</v>
      </c>
      <c r="J484" s="35" t="str">
        <f>TRIM(data__2[[#This Row],[Month (old)]])</f>
        <v>March</v>
      </c>
      <c r="K484" s="35" t="str">
        <f>TRIM(data__2[[#This Row],[Symbol (old)]])</f>
        <v>SP500</v>
      </c>
      <c r="L484" s="36" t="str">
        <f>LEFT(data__2[[#This Row],[Month (old2)]], 3)</f>
        <v>Mar</v>
      </c>
    </row>
    <row r="485" spans="2:12" x14ac:dyDescent="0.25">
      <c r="B485" s="33">
        <v>44277</v>
      </c>
      <c r="C485" s="34" t="s">
        <v>7</v>
      </c>
      <c r="D485" s="34" t="s">
        <v>5</v>
      </c>
      <c r="E485" s="13">
        <v>5755147</v>
      </c>
      <c r="F485" s="13">
        <v>5844536</v>
      </c>
      <c r="G485" s="13">
        <v>5373367</v>
      </c>
      <c r="H485" s="13">
        <v>5471081</v>
      </c>
      <c r="I485" s="13">
        <v>177120</v>
      </c>
      <c r="J485" s="35" t="str">
        <f>TRIM(data__2[[#This Row],[Month (old)]])</f>
        <v>Mar</v>
      </c>
      <c r="K485" s="35" t="str">
        <f>TRIM(data__2[[#This Row],[Symbol (old)]])</f>
        <v>BTCUSD</v>
      </c>
      <c r="L485" s="36" t="str">
        <f>LEFT(data__2[[#This Row],[Month (old2)]], 3)</f>
        <v>Mar</v>
      </c>
    </row>
    <row r="486" spans="2:12" x14ac:dyDescent="0.25">
      <c r="B486" s="33">
        <v>44276</v>
      </c>
      <c r="C486" s="34" t="s">
        <v>7</v>
      </c>
      <c r="D486" s="34" t="s">
        <v>5</v>
      </c>
      <c r="E486" s="13">
        <v>5783332</v>
      </c>
      <c r="F486" s="13">
        <v>5816458</v>
      </c>
      <c r="G486" s="13">
        <v>5550000</v>
      </c>
      <c r="H486" s="13">
        <v>5755147</v>
      </c>
      <c r="I486" s="13">
        <v>78135</v>
      </c>
      <c r="J486" s="35" t="str">
        <f>TRIM(data__2[[#This Row],[Month (old)]])</f>
        <v>Mar</v>
      </c>
      <c r="K486" s="35" t="str">
        <f>TRIM(data__2[[#This Row],[Symbol (old)]])</f>
        <v>BTCUSD</v>
      </c>
      <c r="L486" s="36" t="str">
        <f>LEFT(data__2[[#This Row],[Month (old2)]], 3)</f>
        <v>Mar</v>
      </c>
    </row>
    <row r="487" spans="2:12" x14ac:dyDescent="0.25">
      <c r="B487" s="33">
        <v>44275</v>
      </c>
      <c r="C487" s="34" t="s">
        <v>7</v>
      </c>
      <c r="D487" s="34" t="s">
        <v>5</v>
      </c>
      <c r="E487" s="13">
        <v>5842890</v>
      </c>
      <c r="F487" s="13">
        <v>5988000</v>
      </c>
      <c r="G487" s="13">
        <v>5746936</v>
      </c>
      <c r="H487" s="13">
        <v>5783332</v>
      </c>
      <c r="I487" s="13">
        <v>77422</v>
      </c>
      <c r="J487" s="35" t="str">
        <f>TRIM(data__2[[#This Row],[Month (old)]])</f>
        <v>Mar</v>
      </c>
      <c r="K487" s="35" t="str">
        <f>TRIM(data__2[[#This Row],[Symbol (old)]])</f>
        <v>BTCUSD</v>
      </c>
      <c r="L487" s="36" t="str">
        <f>LEFT(data__2[[#This Row],[Month (old2)]], 3)</f>
        <v>Mar</v>
      </c>
    </row>
    <row r="488" spans="2:12" x14ac:dyDescent="0.25">
      <c r="B488" s="33">
        <v>44274</v>
      </c>
      <c r="C488" s="34" t="s">
        <v>20</v>
      </c>
      <c r="D488" s="34" t="s">
        <v>18</v>
      </c>
      <c r="E488" s="13">
        <v>391314</v>
      </c>
      <c r="F488" s="13">
        <v>393012</v>
      </c>
      <c r="G488" s="13">
        <v>388675</v>
      </c>
      <c r="H488" s="13">
        <v>391310</v>
      </c>
      <c r="I488" s="13">
        <v>772505000000</v>
      </c>
      <c r="J488" s="35" t="str">
        <f>TRIM(data__2[[#This Row],[Month (old)]])</f>
        <v>March</v>
      </c>
      <c r="K488" s="35" t="str">
        <f>TRIM(data__2[[#This Row],[Symbol (old)]])</f>
        <v>SP500</v>
      </c>
      <c r="L488" s="36" t="str">
        <f>LEFT(data__2[[#This Row],[Month (old2)]], 3)</f>
        <v>Mar</v>
      </c>
    </row>
    <row r="489" spans="2:12" x14ac:dyDescent="0.25">
      <c r="B489" s="33">
        <v>44274</v>
      </c>
      <c r="C489" s="34" t="s">
        <v>7</v>
      </c>
      <c r="D489" s="34" t="s">
        <v>5</v>
      </c>
      <c r="E489" s="13">
        <v>5779371</v>
      </c>
      <c r="F489" s="13">
        <v>5944839</v>
      </c>
      <c r="G489" s="13">
        <v>5750761</v>
      </c>
      <c r="H489" s="13">
        <v>5842890</v>
      </c>
      <c r="I489" s="13">
        <v>101417</v>
      </c>
      <c r="J489" s="35" t="str">
        <f>TRIM(data__2[[#This Row],[Month (old)]])</f>
        <v>Mar</v>
      </c>
      <c r="K489" s="35" t="str">
        <f>TRIM(data__2[[#This Row],[Symbol (old)]])</f>
        <v>BTCUSD</v>
      </c>
      <c r="L489" s="36" t="str">
        <f>LEFT(data__2[[#This Row],[Month (old2)]], 3)</f>
        <v>Mar</v>
      </c>
    </row>
    <row r="490" spans="2:12" x14ac:dyDescent="0.25">
      <c r="B490" s="33">
        <v>44273</v>
      </c>
      <c r="C490" s="34" t="s">
        <v>20</v>
      </c>
      <c r="D490" s="34" t="s">
        <v>18</v>
      </c>
      <c r="E490" s="13">
        <v>395350</v>
      </c>
      <c r="F490" s="13">
        <v>396962</v>
      </c>
      <c r="G490" s="13">
        <v>391086</v>
      </c>
      <c r="H490" s="13">
        <v>391546</v>
      </c>
      <c r="I490" s="13">
        <v>404317000000</v>
      </c>
      <c r="J490" s="35" t="str">
        <f>TRIM(data__2[[#This Row],[Month (old)]])</f>
        <v>March</v>
      </c>
      <c r="K490" s="35" t="str">
        <f>TRIM(data__2[[#This Row],[Symbol (old)]])</f>
        <v>SP500</v>
      </c>
      <c r="L490" s="36" t="str">
        <f>LEFT(data__2[[#This Row],[Month (old2)]], 3)</f>
        <v>Mar</v>
      </c>
    </row>
    <row r="491" spans="2:12" x14ac:dyDescent="0.25">
      <c r="B491" s="33">
        <v>44273</v>
      </c>
      <c r="C491" s="34" t="s">
        <v>7</v>
      </c>
      <c r="D491" s="34" t="s">
        <v>5</v>
      </c>
      <c r="E491" s="13">
        <v>5868736</v>
      </c>
      <c r="F491" s="13">
        <v>6009999</v>
      </c>
      <c r="G491" s="13">
        <v>5623955</v>
      </c>
      <c r="H491" s="13">
        <v>5779371</v>
      </c>
      <c r="I491" s="13">
        <v>159438</v>
      </c>
      <c r="J491" s="35" t="str">
        <f>TRIM(data__2[[#This Row],[Month (old)]])</f>
        <v>Mar</v>
      </c>
      <c r="K491" s="35" t="str">
        <f>TRIM(data__2[[#This Row],[Symbol (old)]])</f>
        <v>BTCUSD</v>
      </c>
      <c r="L491" s="36" t="str">
        <f>LEFT(data__2[[#This Row],[Month (old2)]], 3)</f>
        <v>Mar</v>
      </c>
    </row>
    <row r="492" spans="2:12" x14ac:dyDescent="0.25">
      <c r="B492" s="33">
        <v>44272</v>
      </c>
      <c r="C492" s="34" t="s">
        <v>20</v>
      </c>
      <c r="D492" s="34" t="s">
        <v>18</v>
      </c>
      <c r="E492" s="13">
        <v>394957</v>
      </c>
      <c r="F492" s="13">
        <v>398387</v>
      </c>
      <c r="G492" s="13">
        <v>393574</v>
      </c>
      <c r="H492" s="13">
        <v>397412</v>
      </c>
      <c r="I492" s="13">
        <v>454162000000</v>
      </c>
      <c r="J492" s="35" t="str">
        <f>TRIM(data__2[[#This Row],[Month (old)]])</f>
        <v>March</v>
      </c>
      <c r="K492" s="35" t="str">
        <f>TRIM(data__2[[#This Row],[Symbol (old)]])</f>
        <v>SP500</v>
      </c>
      <c r="L492" s="36" t="str">
        <f>LEFT(data__2[[#This Row],[Month (old2)]], 3)</f>
        <v>Mar</v>
      </c>
    </row>
    <row r="493" spans="2:12" x14ac:dyDescent="0.25">
      <c r="B493" s="33">
        <v>44272</v>
      </c>
      <c r="C493" s="34" t="s">
        <v>7</v>
      </c>
      <c r="D493" s="34" t="s">
        <v>5</v>
      </c>
      <c r="E493" s="13">
        <v>5554873</v>
      </c>
      <c r="F493" s="13">
        <v>5956759</v>
      </c>
      <c r="G493" s="13">
        <v>5414495</v>
      </c>
      <c r="H493" s="13">
        <v>5868736</v>
      </c>
      <c r="I493" s="13">
        <v>195094</v>
      </c>
      <c r="J493" s="35" t="str">
        <f>TRIM(data__2[[#This Row],[Month (old)]])</f>
        <v>Mar</v>
      </c>
      <c r="K493" s="35" t="str">
        <f>TRIM(data__2[[#This Row],[Symbol (old)]])</f>
        <v>BTCUSD</v>
      </c>
      <c r="L493" s="36" t="str">
        <f>LEFT(data__2[[#This Row],[Month (old2)]], 3)</f>
        <v>Mar</v>
      </c>
    </row>
    <row r="494" spans="2:12" x14ac:dyDescent="0.25">
      <c r="B494" s="33">
        <v>44271</v>
      </c>
      <c r="C494" s="34" t="s">
        <v>20</v>
      </c>
      <c r="D494" s="34" t="s">
        <v>18</v>
      </c>
      <c r="E494" s="13">
        <v>397359</v>
      </c>
      <c r="F494" s="13">
        <v>398104</v>
      </c>
      <c r="G494" s="13">
        <v>395344</v>
      </c>
      <c r="H494" s="13">
        <v>396271</v>
      </c>
      <c r="I494" s="13">
        <v>460487000000</v>
      </c>
      <c r="J494" s="35" t="str">
        <f>TRIM(data__2[[#This Row],[Month (old)]])</f>
        <v>March</v>
      </c>
      <c r="K494" s="35" t="str">
        <f>TRIM(data__2[[#This Row],[Symbol (old)]])</f>
        <v>SP500</v>
      </c>
      <c r="L494" s="36" t="str">
        <f>LEFT(data__2[[#This Row],[Month (old2)]], 3)</f>
        <v>Mar</v>
      </c>
    </row>
    <row r="495" spans="2:12" x14ac:dyDescent="0.25">
      <c r="B495" s="33">
        <v>44271</v>
      </c>
      <c r="C495" s="34" t="s">
        <v>7</v>
      </c>
      <c r="D495" s="34" t="s">
        <v>5</v>
      </c>
      <c r="E495" s="13">
        <v>5425504</v>
      </c>
      <c r="F495" s="13">
        <v>5718578</v>
      </c>
      <c r="G495" s="13">
        <v>5358900</v>
      </c>
      <c r="H495" s="13">
        <v>5554873</v>
      </c>
      <c r="I495" s="13">
        <v>135097</v>
      </c>
      <c r="J495" s="35" t="str">
        <f>TRIM(data__2[[#This Row],[Month (old)]])</f>
        <v>Mar</v>
      </c>
      <c r="K495" s="35" t="str">
        <f>TRIM(data__2[[#This Row],[Symbol (old)]])</f>
        <v>BTCUSD</v>
      </c>
      <c r="L495" s="36" t="str">
        <f>LEFT(data__2[[#This Row],[Month (old2)]], 3)</f>
        <v>Mar</v>
      </c>
    </row>
    <row r="496" spans="2:12" x14ac:dyDescent="0.25">
      <c r="B496" s="33">
        <v>44270</v>
      </c>
      <c r="C496" s="34" t="s">
        <v>20</v>
      </c>
      <c r="D496" s="34" t="s">
        <v>18</v>
      </c>
      <c r="E496" s="13">
        <v>394296</v>
      </c>
      <c r="F496" s="13">
        <v>397008</v>
      </c>
      <c r="G496" s="13">
        <v>392354</v>
      </c>
      <c r="H496" s="13">
        <v>396894</v>
      </c>
      <c r="I496" s="13">
        <v>488219000000</v>
      </c>
      <c r="J496" s="35" t="str">
        <f>TRIM(data__2[[#This Row],[Month (old)]])</f>
        <v>March</v>
      </c>
      <c r="K496" s="35" t="str">
        <f>TRIM(data__2[[#This Row],[Symbol (old)]])</f>
        <v>SP500</v>
      </c>
      <c r="L496" s="36" t="str">
        <f>LEFT(data__2[[#This Row],[Month (old2)]], 3)</f>
        <v>Mar</v>
      </c>
    </row>
    <row r="497" spans="2:12" x14ac:dyDescent="0.25">
      <c r="B497" s="33">
        <v>44270</v>
      </c>
      <c r="C497" s="34" t="s">
        <v>7</v>
      </c>
      <c r="D497" s="34" t="s">
        <v>5</v>
      </c>
      <c r="E497" s="13">
        <v>6036218</v>
      </c>
      <c r="F497" s="13">
        <v>6056159</v>
      </c>
      <c r="G497" s="13">
        <v>5323869</v>
      </c>
      <c r="H497" s="13">
        <v>5425504</v>
      </c>
      <c r="I497" s="13">
        <v>345309</v>
      </c>
      <c r="J497" s="35" t="str">
        <f>TRIM(data__2[[#This Row],[Month (old)]])</f>
        <v>Mar</v>
      </c>
      <c r="K497" s="35" t="str">
        <f>TRIM(data__2[[#This Row],[Symbol (old)]])</f>
        <v>BTCUSD</v>
      </c>
      <c r="L497" s="36" t="str">
        <f>LEFT(data__2[[#This Row],[Month (old2)]], 3)</f>
        <v>Mar</v>
      </c>
    </row>
    <row r="498" spans="2:12" x14ac:dyDescent="0.25">
      <c r="B498" s="33">
        <v>44269</v>
      </c>
      <c r="C498" s="34" t="s">
        <v>7</v>
      </c>
      <c r="D498" s="34" t="s">
        <v>5</v>
      </c>
      <c r="E498" s="13">
        <v>6135475</v>
      </c>
      <c r="F498" s="13">
        <v>6150082</v>
      </c>
      <c r="G498" s="13">
        <v>5875000</v>
      </c>
      <c r="H498" s="13">
        <v>6036218</v>
      </c>
      <c r="I498" s="13">
        <v>128615</v>
      </c>
      <c r="J498" s="35" t="str">
        <f>TRIM(data__2[[#This Row],[Month (old)]])</f>
        <v>Mar</v>
      </c>
      <c r="K498" s="35" t="str">
        <f>TRIM(data__2[[#This Row],[Symbol (old)]])</f>
        <v>BTCUSD</v>
      </c>
      <c r="L498" s="36" t="str">
        <f>LEFT(data__2[[#This Row],[Month (old2)]], 3)</f>
        <v>Mar</v>
      </c>
    </row>
    <row r="499" spans="2:12" x14ac:dyDescent="0.25">
      <c r="B499" s="33">
        <v>44268</v>
      </c>
      <c r="C499" s="34" t="s">
        <v>7</v>
      </c>
      <c r="D499" s="34" t="s">
        <v>5</v>
      </c>
      <c r="E499" s="13">
        <v>5670584</v>
      </c>
      <c r="F499" s="13">
        <v>6178500</v>
      </c>
      <c r="G499" s="13">
        <v>5628451</v>
      </c>
      <c r="H499" s="13">
        <v>6135475</v>
      </c>
      <c r="I499" s="13">
        <v>213531</v>
      </c>
      <c r="J499" s="35" t="str">
        <f>TRIM(data__2[[#This Row],[Month (old)]])</f>
        <v>Mar</v>
      </c>
      <c r="K499" s="35" t="str">
        <f>TRIM(data__2[[#This Row],[Symbol (old)]])</f>
        <v>BTCUSD</v>
      </c>
      <c r="L499" s="36" t="str">
        <f>LEFT(data__2[[#This Row],[Month (old2)]], 3)</f>
        <v>Mar</v>
      </c>
    </row>
    <row r="500" spans="2:12" x14ac:dyDescent="0.25">
      <c r="B500" s="33">
        <v>44267</v>
      </c>
      <c r="C500" s="34" t="s">
        <v>20</v>
      </c>
      <c r="D500" s="34" t="s">
        <v>18</v>
      </c>
      <c r="E500" s="13">
        <v>392452</v>
      </c>
      <c r="F500" s="13">
        <v>394499</v>
      </c>
      <c r="G500" s="13">
        <v>391521</v>
      </c>
      <c r="H500" s="13">
        <v>394334</v>
      </c>
      <c r="I500" s="13">
        <v>446924000000</v>
      </c>
      <c r="J500" s="35" t="str">
        <f>TRIM(data__2[[#This Row],[Month (old)]])</f>
        <v>March</v>
      </c>
      <c r="K500" s="35" t="str">
        <f>TRIM(data__2[[#This Row],[Symbol (old)]])</f>
        <v>SP500</v>
      </c>
      <c r="L500" s="36" t="str">
        <f>LEFT(data__2[[#This Row],[Month (old2)]], 3)</f>
        <v>Mar</v>
      </c>
    </row>
    <row r="501" spans="2:12" x14ac:dyDescent="0.25">
      <c r="B501" s="33">
        <v>44267</v>
      </c>
      <c r="C501" s="34" t="s">
        <v>7</v>
      </c>
      <c r="D501" s="34" t="s">
        <v>5</v>
      </c>
      <c r="E501" s="13">
        <v>5711163</v>
      </c>
      <c r="F501" s="13">
        <v>5795922</v>
      </c>
      <c r="G501" s="13">
        <v>5505000</v>
      </c>
      <c r="H501" s="13">
        <v>5670584</v>
      </c>
      <c r="I501" s="13">
        <v>159558</v>
      </c>
      <c r="J501" s="35" t="str">
        <f>TRIM(data__2[[#This Row],[Month (old)]])</f>
        <v>Mar</v>
      </c>
      <c r="K501" s="35" t="str">
        <f>TRIM(data__2[[#This Row],[Symbol (old)]])</f>
        <v>BTCUSD</v>
      </c>
      <c r="L501" s="36" t="str">
        <f>LEFT(data__2[[#This Row],[Month (old2)]], 3)</f>
        <v>Mar</v>
      </c>
    </row>
    <row r="502" spans="2:12" x14ac:dyDescent="0.25">
      <c r="B502" s="33">
        <v>44266</v>
      </c>
      <c r="C502" s="34" t="s">
        <v>20</v>
      </c>
      <c r="D502" s="34" t="s">
        <v>18</v>
      </c>
      <c r="E502" s="13">
        <v>391554</v>
      </c>
      <c r="F502" s="13">
        <v>396027</v>
      </c>
      <c r="G502" s="13">
        <v>391554</v>
      </c>
      <c r="H502" s="13">
        <v>393934</v>
      </c>
      <c r="I502" s="13">
        <v>530001000000</v>
      </c>
      <c r="J502" s="35" t="str">
        <f>TRIM(data__2[[#This Row],[Month (old)]])</f>
        <v>March</v>
      </c>
      <c r="K502" s="35" t="str">
        <f>TRIM(data__2[[#This Row],[Symbol (old)]])</f>
        <v>SP500</v>
      </c>
      <c r="L502" s="36" t="str">
        <f>LEFT(data__2[[#This Row],[Month (old2)]], 3)</f>
        <v>Mar</v>
      </c>
    </row>
    <row r="503" spans="2:12" x14ac:dyDescent="0.25">
      <c r="B503" s="33">
        <v>44266</v>
      </c>
      <c r="C503" s="34" t="s">
        <v>7</v>
      </c>
      <c r="D503" s="34" t="s">
        <v>5</v>
      </c>
      <c r="E503" s="13">
        <v>5597168</v>
      </c>
      <c r="F503" s="13">
        <v>5812000</v>
      </c>
      <c r="G503" s="13">
        <v>5428174</v>
      </c>
      <c r="H503" s="13">
        <v>5711163</v>
      </c>
      <c r="I503" s="13">
        <v>177609</v>
      </c>
      <c r="J503" s="35" t="str">
        <f>TRIM(data__2[[#This Row],[Month (old)]])</f>
        <v>Mar</v>
      </c>
      <c r="K503" s="35" t="str">
        <f>TRIM(data__2[[#This Row],[Symbol (old)]])</f>
        <v>BTCUSD</v>
      </c>
      <c r="L503" s="36" t="str">
        <f>LEFT(data__2[[#This Row],[Month (old2)]], 3)</f>
        <v>Mar</v>
      </c>
    </row>
    <row r="504" spans="2:12" x14ac:dyDescent="0.25">
      <c r="B504" s="33">
        <v>44265</v>
      </c>
      <c r="C504" s="34" t="s">
        <v>20</v>
      </c>
      <c r="D504" s="34" t="s">
        <v>18</v>
      </c>
      <c r="E504" s="13">
        <v>389199</v>
      </c>
      <c r="F504" s="13">
        <v>391735</v>
      </c>
      <c r="G504" s="13">
        <v>388573</v>
      </c>
      <c r="H504" s="13">
        <v>389881</v>
      </c>
      <c r="I504" s="13">
        <v>582725000000</v>
      </c>
      <c r="J504" s="35" t="str">
        <f>TRIM(data__2[[#This Row],[Month (old)]])</f>
        <v>March</v>
      </c>
      <c r="K504" s="35" t="str">
        <f>TRIM(data__2[[#This Row],[Symbol (old)]])</f>
        <v>SP500</v>
      </c>
      <c r="L504" s="36" t="str">
        <f>LEFT(data__2[[#This Row],[Month (old2)]], 3)</f>
        <v>Mar</v>
      </c>
    </row>
    <row r="505" spans="2:12" x14ac:dyDescent="0.25">
      <c r="B505" s="33">
        <v>44265</v>
      </c>
      <c r="C505" s="34" t="s">
        <v>7</v>
      </c>
      <c r="D505" s="34" t="s">
        <v>5</v>
      </c>
      <c r="E505" s="13">
        <v>5346619</v>
      </c>
      <c r="F505" s="13">
        <v>5740000</v>
      </c>
      <c r="G505" s="13">
        <v>5304900</v>
      </c>
      <c r="H505" s="13">
        <v>5597168</v>
      </c>
      <c r="I505" s="13">
        <v>206229</v>
      </c>
      <c r="J505" s="35" t="str">
        <f>TRIM(data__2[[#This Row],[Month (old)]])</f>
        <v>Mar</v>
      </c>
      <c r="K505" s="35" t="str">
        <f>TRIM(data__2[[#This Row],[Symbol (old)]])</f>
        <v>BTCUSD</v>
      </c>
      <c r="L505" s="36" t="str">
        <f>LEFT(data__2[[#This Row],[Month (old2)]], 3)</f>
        <v>Mar</v>
      </c>
    </row>
    <row r="506" spans="2:12" x14ac:dyDescent="0.25">
      <c r="B506" s="33">
        <v>44264</v>
      </c>
      <c r="C506" s="34" t="s">
        <v>20</v>
      </c>
      <c r="D506" s="34" t="s">
        <v>18</v>
      </c>
      <c r="E506" s="13">
        <v>385193</v>
      </c>
      <c r="F506" s="13">
        <v>390376</v>
      </c>
      <c r="G506" s="13">
        <v>385193</v>
      </c>
      <c r="H506" s="13">
        <v>387544</v>
      </c>
      <c r="I506" s="13">
        <v>549634000000</v>
      </c>
      <c r="J506" s="35" t="str">
        <f>TRIM(data__2[[#This Row],[Month (old)]])</f>
        <v>March</v>
      </c>
      <c r="K506" s="35" t="str">
        <f>TRIM(data__2[[#This Row],[Symbol (old)]])</f>
        <v>SP500</v>
      </c>
      <c r="L506" s="36" t="str">
        <f>LEFT(data__2[[#This Row],[Month (old2)]], 3)</f>
        <v>Mar</v>
      </c>
    </row>
    <row r="507" spans="2:12" x14ac:dyDescent="0.25">
      <c r="B507" s="33">
        <v>44264</v>
      </c>
      <c r="C507" s="34" t="s">
        <v>7</v>
      </c>
      <c r="D507" s="34" t="s">
        <v>5</v>
      </c>
      <c r="E507" s="13">
        <v>5393134</v>
      </c>
      <c r="F507" s="13">
        <v>5584768</v>
      </c>
      <c r="G507" s="13">
        <v>5314076</v>
      </c>
      <c r="H507" s="13">
        <v>5346619</v>
      </c>
      <c r="I507" s="13">
        <v>193315</v>
      </c>
      <c r="J507" s="35" t="str">
        <f>TRIM(data__2[[#This Row],[Month (old)]])</f>
        <v>Mar</v>
      </c>
      <c r="K507" s="35" t="str">
        <f>TRIM(data__2[[#This Row],[Symbol (old)]])</f>
        <v>BTCUSD</v>
      </c>
      <c r="L507" s="36" t="str">
        <f>LEFT(data__2[[#This Row],[Month (old2)]], 3)</f>
        <v>Mar</v>
      </c>
    </row>
    <row r="508" spans="2:12" x14ac:dyDescent="0.25">
      <c r="B508" s="33">
        <v>44263</v>
      </c>
      <c r="C508" s="34" t="s">
        <v>20</v>
      </c>
      <c r="D508" s="34" t="s">
        <v>18</v>
      </c>
      <c r="E508" s="13">
        <v>384439</v>
      </c>
      <c r="F508" s="13">
        <v>388106</v>
      </c>
      <c r="G508" s="13">
        <v>381925</v>
      </c>
      <c r="H508" s="13">
        <v>382135</v>
      </c>
      <c r="I508" s="13">
        <v>585224000000</v>
      </c>
      <c r="J508" s="35" t="str">
        <f>TRIM(data__2[[#This Row],[Month (old)]])</f>
        <v>March</v>
      </c>
      <c r="K508" s="35" t="str">
        <f>TRIM(data__2[[#This Row],[Symbol (old)]])</f>
        <v>SP500</v>
      </c>
      <c r="L508" s="36" t="str">
        <f>LEFT(data__2[[#This Row],[Month (old2)]], 3)</f>
        <v>Mar</v>
      </c>
    </row>
    <row r="509" spans="2:12" x14ac:dyDescent="0.25">
      <c r="B509" s="33">
        <v>44263</v>
      </c>
      <c r="C509" s="34" t="s">
        <v>7</v>
      </c>
      <c r="D509" s="34" t="s">
        <v>5</v>
      </c>
      <c r="E509" s="13">
        <v>5059121</v>
      </c>
      <c r="F509" s="13">
        <v>5412600</v>
      </c>
      <c r="G509" s="13">
        <v>4930001</v>
      </c>
      <c r="H509" s="13">
        <v>5393134</v>
      </c>
      <c r="I509" s="13">
        <v>188072</v>
      </c>
      <c r="J509" s="35" t="str">
        <f>TRIM(data__2[[#This Row],[Month (old)]])</f>
        <v>Mar</v>
      </c>
      <c r="K509" s="35" t="str">
        <f>TRIM(data__2[[#This Row],[Symbol (old)]])</f>
        <v>BTCUSD</v>
      </c>
      <c r="L509" s="36" t="str">
        <f>LEFT(data__2[[#This Row],[Month (old2)]], 3)</f>
        <v>Mar</v>
      </c>
    </row>
    <row r="510" spans="2:12" x14ac:dyDescent="0.25">
      <c r="B510" s="33">
        <v>44262</v>
      </c>
      <c r="C510" s="34" t="s">
        <v>7</v>
      </c>
      <c r="D510" s="34" t="s">
        <v>5</v>
      </c>
      <c r="E510" s="13">
        <v>4961032</v>
      </c>
      <c r="F510" s="13">
        <v>5183215</v>
      </c>
      <c r="G510" s="13">
        <v>4913573</v>
      </c>
      <c r="H510" s="13">
        <v>5059121</v>
      </c>
      <c r="I510" s="13">
        <v>115704</v>
      </c>
      <c r="J510" s="35" t="str">
        <f>TRIM(data__2[[#This Row],[Month (old)]])</f>
        <v>Mar</v>
      </c>
      <c r="K510" s="35" t="str">
        <f>TRIM(data__2[[#This Row],[Symbol (old)]])</f>
        <v>BTCUSD</v>
      </c>
      <c r="L510" s="36" t="str">
        <f>LEFT(data__2[[#This Row],[Month (old2)]], 3)</f>
        <v>Mar</v>
      </c>
    </row>
    <row r="511" spans="2:12" x14ac:dyDescent="0.25">
      <c r="B511" s="33">
        <v>44261</v>
      </c>
      <c r="C511" s="34" t="s">
        <v>7</v>
      </c>
      <c r="D511" s="34" t="s">
        <v>5</v>
      </c>
      <c r="E511" s="13">
        <v>4864876</v>
      </c>
      <c r="F511" s="13">
        <v>4991573</v>
      </c>
      <c r="G511" s="13">
        <v>4709687</v>
      </c>
      <c r="H511" s="13">
        <v>4961032</v>
      </c>
      <c r="I511" s="13">
        <v>102729</v>
      </c>
      <c r="J511" s="35" t="str">
        <f>TRIM(data__2[[#This Row],[Month (old)]])</f>
        <v>Mar</v>
      </c>
      <c r="K511" s="35" t="str">
        <f>TRIM(data__2[[#This Row],[Symbol (old)]])</f>
        <v>BTCUSD</v>
      </c>
      <c r="L511" s="36" t="str">
        <f>LEFT(data__2[[#This Row],[Month (old2)]], 3)</f>
        <v>Mar</v>
      </c>
    </row>
    <row r="512" spans="2:12" x14ac:dyDescent="0.25">
      <c r="B512" s="33">
        <v>44260</v>
      </c>
      <c r="C512" s="34" t="s">
        <v>20</v>
      </c>
      <c r="D512" s="34" t="s">
        <v>18</v>
      </c>
      <c r="E512" s="13">
        <v>379358</v>
      </c>
      <c r="F512" s="13">
        <v>385169</v>
      </c>
      <c r="G512" s="13">
        <v>373019</v>
      </c>
      <c r="H512" s="13">
        <v>384194</v>
      </c>
      <c r="I512" s="13">
        <v>684257000000</v>
      </c>
      <c r="J512" s="35" t="str">
        <f>TRIM(data__2[[#This Row],[Month (old)]])</f>
        <v>March</v>
      </c>
      <c r="K512" s="35" t="str">
        <f>TRIM(data__2[[#This Row],[Symbol (old)]])</f>
        <v>SP500</v>
      </c>
      <c r="L512" s="36" t="str">
        <f>LEFT(data__2[[#This Row],[Month (old2)]], 3)</f>
        <v>Mar</v>
      </c>
    </row>
    <row r="513" spans="2:12" x14ac:dyDescent="0.25">
      <c r="B513" s="33">
        <v>44260</v>
      </c>
      <c r="C513" s="34" t="s">
        <v>7</v>
      </c>
      <c r="D513" s="34" t="s">
        <v>5</v>
      </c>
      <c r="E513" s="13">
        <v>4733992</v>
      </c>
      <c r="F513" s="13">
        <v>4945561</v>
      </c>
      <c r="G513" s="13">
        <v>4644316</v>
      </c>
      <c r="H513" s="13">
        <v>4864876</v>
      </c>
      <c r="I513" s="13">
        <v>177493</v>
      </c>
      <c r="J513" s="35" t="str">
        <f>TRIM(data__2[[#This Row],[Month (old)]])</f>
        <v>Mar</v>
      </c>
      <c r="K513" s="35" t="str">
        <f>TRIM(data__2[[#This Row],[Symbol (old)]])</f>
        <v>BTCUSD</v>
      </c>
      <c r="L513" s="36" t="str">
        <f>LEFT(data__2[[#This Row],[Month (old2)]], 3)</f>
        <v>Mar</v>
      </c>
    </row>
    <row r="514" spans="2:12" x14ac:dyDescent="0.25">
      <c r="B514" s="33">
        <v>44259</v>
      </c>
      <c r="C514" s="34" t="s">
        <v>20</v>
      </c>
      <c r="D514" s="34" t="s">
        <v>18</v>
      </c>
      <c r="E514" s="13">
        <v>381853</v>
      </c>
      <c r="F514" s="13">
        <v>384367</v>
      </c>
      <c r="G514" s="13">
        <v>372334</v>
      </c>
      <c r="H514" s="13">
        <v>376847</v>
      </c>
      <c r="I514" s="13">
        <v>714224000000</v>
      </c>
      <c r="J514" s="35" t="str">
        <f>TRIM(data__2[[#This Row],[Month (old)]])</f>
        <v>March</v>
      </c>
      <c r="K514" s="35" t="str">
        <f>TRIM(data__2[[#This Row],[Symbol (old)]])</f>
        <v>SP500</v>
      </c>
      <c r="L514" s="36" t="str">
        <f>LEFT(data__2[[#This Row],[Month (old2)]], 3)</f>
        <v>Mar</v>
      </c>
    </row>
    <row r="515" spans="2:12" x14ac:dyDescent="0.25">
      <c r="B515" s="33">
        <v>44259</v>
      </c>
      <c r="C515" s="34" t="s">
        <v>7</v>
      </c>
      <c r="D515" s="34" t="s">
        <v>5</v>
      </c>
      <c r="E515" s="13">
        <v>4959723</v>
      </c>
      <c r="F515" s="13">
        <v>5075439</v>
      </c>
      <c r="G515" s="13">
        <v>4629747</v>
      </c>
      <c r="H515" s="13">
        <v>4733992</v>
      </c>
      <c r="I515" s="13">
        <v>250735</v>
      </c>
      <c r="J515" s="35" t="str">
        <f>TRIM(data__2[[#This Row],[Month (old)]])</f>
        <v>Mar</v>
      </c>
      <c r="K515" s="35" t="str">
        <f>TRIM(data__2[[#This Row],[Symbol (old)]])</f>
        <v>BTCUSD</v>
      </c>
      <c r="L515" s="36" t="str">
        <f>LEFT(data__2[[#This Row],[Month (old2)]], 3)</f>
        <v>Mar</v>
      </c>
    </row>
    <row r="516" spans="2:12" x14ac:dyDescent="0.25">
      <c r="B516" s="33">
        <v>44258</v>
      </c>
      <c r="C516" s="34" t="s">
        <v>20</v>
      </c>
      <c r="D516" s="34" t="s">
        <v>18</v>
      </c>
      <c r="E516" s="13">
        <v>386399</v>
      </c>
      <c r="F516" s="13">
        <v>387447</v>
      </c>
      <c r="G516" s="13">
        <v>381886</v>
      </c>
      <c r="H516" s="13">
        <v>381972</v>
      </c>
      <c r="I516" s="13">
        <v>615079000000</v>
      </c>
      <c r="J516" s="35" t="str">
        <f>TRIM(data__2[[#This Row],[Month (old)]])</f>
        <v>March</v>
      </c>
      <c r="K516" s="35" t="str">
        <f>TRIM(data__2[[#This Row],[Symbol (old)]])</f>
        <v>SP500</v>
      </c>
      <c r="L516" s="36" t="str">
        <f>LEFT(data__2[[#This Row],[Month (old2)]], 3)</f>
        <v>Mar</v>
      </c>
    </row>
    <row r="517" spans="2:12" x14ac:dyDescent="0.25">
      <c r="B517" s="33">
        <v>44258</v>
      </c>
      <c r="C517" s="34" t="s">
        <v>7</v>
      </c>
      <c r="D517" s="34" t="s">
        <v>5</v>
      </c>
      <c r="E517" s="13">
        <v>4874978</v>
      </c>
      <c r="F517" s="13">
        <v>5273720</v>
      </c>
      <c r="G517" s="13">
        <v>4869728</v>
      </c>
      <c r="H517" s="13">
        <v>4959723</v>
      </c>
      <c r="I517" s="13">
        <v>275627</v>
      </c>
      <c r="J517" s="35" t="str">
        <f>TRIM(data__2[[#This Row],[Month (old)]])</f>
        <v>Mar</v>
      </c>
      <c r="K517" s="35" t="str">
        <f>TRIM(data__2[[#This Row],[Symbol (old)]])</f>
        <v>BTCUSD</v>
      </c>
      <c r="L517" s="36" t="str">
        <f>LEFT(data__2[[#This Row],[Month (old2)]], 3)</f>
        <v>Mar</v>
      </c>
    </row>
    <row r="518" spans="2:12" x14ac:dyDescent="0.25">
      <c r="B518" s="33">
        <v>44257</v>
      </c>
      <c r="C518" s="34" t="s">
        <v>20</v>
      </c>
      <c r="D518" s="34" t="s">
        <v>18</v>
      </c>
      <c r="E518" s="13">
        <v>390364</v>
      </c>
      <c r="F518" s="13">
        <v>390641</v>
      </c>
      <c r="G518" s="13">
        <v>386857</v>
      </c>
      <c r="H518" s="13">
        <v>387029</v>
      </c>
      <c r="I518" s="13">
        <v>549369000000</v>
      </c>
      <c r="J518" s="35" t="str">
        <f>TRIM(data__2[[#This Row],[Month (old)]])</f>
        <v>March</v>
      </c>
      <c r="K518" s="35" t="str">
        <f>TRIM(data__2[[#This Row],[Symbol (old)]])</f>
        <v>SP500</v>
      </c>
      <c r="L518" s="36" t="str">
        <f>LEFT(data__2[[#This Row],[Month (old2)]], 3)</f>
        <v>Mar</v>
      </c>
    </row>
    <row r="519" spans="2:12" x14ac:dyDescent="0.25">
      <c r="B519" s="33">
        <v>44257</v>
      </c>
      <c r="C519" s="34" t="s">
        <v>7</v>
      </c>
      <c r="D519" s="34" t="s">
        <v>5</v>
      </c>
      <c r="E519" s="13">
        <v>4902376</v>
      </c>
      <c r="F519" s="13">
        <v>4975722</v>
      </c>
      <c r="G519" s="13">
        <v>4707652</v>
      </c>
      <c r="H519" s="13">
        <v>4874978</v>
      </c>
      <c r="I519" s="13">
        <v>188771</v>
      </c>
      <c r="J519" s="35" t="str">
        <f>TRIM(data__2[[#This Row],[Month (old)]])</f>
        <v>Mar</v>
      </c>
      <c r="K519" s="35" t="str">
        <f>TRIM(data__2[[#This Row],[Symbol (old)]])</f>
        <v>BTCUSD</v>
      </c>
      <c r="L519" s="36" t="str">
        <f>LEFT(data__2[[#This Row],[Month (old2)]], 3)</f>
        <v>Mar</v>
      </c>
    </row>
    <row r="520" spans="2:12" x14ac:dyDescent="0.25">
      <c r="B520" s="33">
        <v>44256</v>
      </c>
      <c r="C520" s="34" t="s">
        <v>20</v>
      </c>
      <c r="D520" s="34" t="s">
        <v>18</v>
      </c>
      <c r="E520" s="13">
        <v>384251</v>
      </c>
      <c r="F520" s="13">
        <v>391450</v>
      </c>
      <c r="G520" s="13">
        <v>384251</v>
      </c>
      <c r="H520" s="13">
        <v>390182</v>
      </c>
      <c r="I520" s="13">
        <v>507154000000</v>
      </c>
      <c r="J520" s="35" t="str">
        <f>TRIM(data__2[[#This Row],[Month (old)]])</f>
        <v>March</v>
      </c>
      <c r="K520" s="35" t="str">
        <f>TRIM(data__2[[#This Row],[Symbol (old)]])</f>
        <v>SP500</v>
      </c>
      <c r="L520" s="36" t="str">
        <f>LEFT(data__2[[#This Row],[Month (old2)]], 3)</f>
        <v>Mar</v>
      </c>
    </row>
    <row r="521" spans="2:12" x14ac:dyDescent="0.25">
      <c r="B521" s="33">
        <v>44255</v>
      </c>
      <c r="C521" s="34" t="s">
        <v>6</v>
      </c>
      <c r="D521" s="34" t="s">
        <v>5</v>
      </c>
      <c r="E521" s="13">
        <v>4467336</v>
      </c>
      <c r="F521" s="13">
        <v>4692000</v>
      </c>
      <c r="G521" s="13">
        <v>4303366</v>
      </c>
      <c r="H521" s="13">
        <v>4640805</v>
      </c>
      <c r="I521" s="13">
        <v>218854</v>
      </c>
      <c r="J521" s="35" t="str">
        <f>TRIM(data__2[[#This Row],[Month (old)]])</f>
        <v>Feb</v>
      </c>
      <c r="K521" s="35" t="str">
        <f>TRIM(data__2[[#This Row],[Symbol (old)]])</f>
        <v>BTCUSD</v>
      </c>
      <c r="L521" s="36" t="str">
        <f>LEFT(data__2[[#This Row],[Month (old2)]], 3)</f>
        <v>Feb</v>
      </c>
    </row>
    <row r="522" spans="2:12" x14ac:dyDescent="0.25">
      <c r="B522" s="33">
        <v>44254</v>
      </c>
      <c r="C522" s="34" t="s">
        <v>6</v>
      </c>
      <c r="D522" s="34" t="s">
        <v>5</v>
      </c>
      <c r="E522" s="13">
        <v>4744000</v>
      </c>
      <c r="F522" s="13">
        <v>4838014</v>
      </c>
      <c r="G522" s="13">
        <v>4451000</v>
      </c>
      <c r="H522" s="13">
        <v>4467336</v>
      </c>
      <c r="I522" s="13">
        <v>119106</v>
      </c>
      <c r="J522" s="35" t="str">
        <f>TRIM(data__2[[#This Row],[Month (old)]])</f>
        <v>Feb</v>
      </c>
      <c r="K522" s="35" t="str">
        <f>TRIM(data__2[[#This Row],[Symbol (old)]])</f>
        <v>BTCUSD</v>
      </c>
      <c r="L522" s="36" t="str">
        <f>LEFT(data__2[[#This Row],[Month (old2)]], 3)</f>
        <v>Feb</v>
      </c>
    </row>
    <row r="523" spans="2:12" x14ac:dyDescent="0.25">
      <c r="B523" s="33">
        <v>44253</v>
      </c>
      <c r="C523" s="34" t="s">
        <v>19</v>
      </c>
      <c r="D523" s="34" t="s">
        <v>18</v>
      </c>
      <c r="E523" s="13">
        <v>383966</v>
      </c>
      <c r="F523" s="13">
        <v>386108</v>
      </c>
      <c r="G523" s="13">
        <v>378954</v>
      </c>
      <c r="H523" s="13">
        <v>381115</v>
      </c>
      <c r="I523" s="13">
        <v>651295000000</v>
      </c>
      <c r="J523" s="35" t="str">
        <f>TRIM(data__2[[#This Row],[Month (old)]])</f>
        <v>February</v>
      </c>
      <c r="K523" s="35" t="str">
        <f>TRIM(data__2[[#This Row],[Symbol (old)]])</f>
        <v>SP500</v>
      </c>
      <c r="L523" s="36" t="str">
        <f>LEFT(data__2[[#This Row],[Month (old2)]], 3)</f>
        <v>Feb</v>
      </c>
    </row>
    <row r="524" spans="2:12" x14ac:dyDescent="0.25">
      <c r="B524" s="33">
        <v>44253</v>
      </c>
      <c r="C524" s="34" t="s">
        <v>6</v>
      </c>
      <c r="D524" s="34" t="s">
        <v>5</v>
      </c>
      <c r="E524" s="13">
        <v>4736043</v>
      </c>
      <c r="F524" s="13">
        <v>4847208</v>
      </c>
      <c r="G524" s="13">
        <v>4412124</v>
      </c>
      <c r="H524" s="13">
        <v>4744000</v>
      </c>
      <c r="I524" s="13">
        <v>329757</v>
      </c>
      <c r="J524" s="35" t="str">
        <f>TRIM(data__2[[#This Row],[Month (old)]])</f>
        <v>Feb</v>
      </c>
      <c r="K524" s="35" t="str">
        <f>TRIM(data__2[[#This Row],[Symbol (old)]])</f>
        <v>BTCUSD</v>
      </c>
      <c r="L524" s="36" t="str">
        <f>LEFT(data__2[[#This Row],[Month (old2)]], 3)</f>
        <v>Feb</v>
      </c>
    </row>
    <row r="525" spans="2:12" x14ac:dyDescent="0.25">
      <c r="B525" s="33">
        <v>44252</v>
      </c>
      <c r="C525" s="34" t="s">
        <v>19</v>
      </c>
      <c r="D525" s="34" t="s">
        <v>18</v>
      </c>
      <c r="E525" s="13">
        <v>391580</v>
      </c>
      <c r="F525" s="13">
        <v>392502</v>
      </c>
      <c r="G525" s="13">
        <v>381404</v>
      </c>
      <c r="H525" s="13">
        <v>382934</v>
      </c>
      <c r="I525" s="13">
        <v>651306000000</v>
      </c>
      <c r="J525" s="35" t="str">
        <f>TRIM(data__2[[#This Row],[Month (old)]])</f>
        <v>February</v>
      </c>
      <c r="K525" s="35" t="str">
        <f>TRIM(data__2[[#This Row],[Symbol (old)]])</f>
        <v>SP500</v>
      </c>
      <c r="L525" s="36" t="str">
        <f>LEFT(data__2[[#This Row],[Month (old2)]], 3)</f>
        <v>Feb</v>
      </c>
    </row>
    <row r="526" spans="2:12" x14ac:dyDescent="0.25">
      <c r="B526" s="33">
        <v>44252</v>
      </c>
      <c r="C526" s="34" t="s">
        <v>6</v>
      </c>
      <c r="D526" s="34" t="s">
        <v>5</v>
      </c>
      <c r="E526" s="13">
        <v>5026689</v>
      </c>
      <c r="F526" s="13">
        <v>5207400</v>
      </c>
      <c r="G526" s="13">
        <v>4600000</v>
      </c>
      <c r="H526" s="13">
        <v>4736043</v>
      </c>
      <c r="I526" s="13">
        <v>390071</v>
      </c>
      <c r="J526" s="35" t="str">
        <f>TRIM(data__2[[#This Row],[Month (old)]])</f>
        <v>Feb</v>
      </c>
      <c r="K526" s="35" t="str">
        <f>TRIM(data__2[[#This Row],[Symbol (old)]])</f>
        <v>BTCUSD</v>
      </c>
      <c r="L526" s="36" t="str">
        <f>LEFT(data__2[[#This Row],[Month (old2)]], 3)</f>
        <v>Feb</v>
      </c>
    </row>
    <row r="527" spans="2:12" x14ac:dyDescent="0.25">
      <c r="B527" s="33">
        <v>44251</v>
      </c>
      <c r="C527" s="34" t="s">
        <v>19</v>
      </c>
      <c r="D527" s="34" t="s">
        <v>18</v>
      </c>
      <c r="E527" s="13">
        <v>387371</v>
      </c>
      <c r="F527" s="13">
        <v>392865</v>
      </c>
      <c r="G527" s="13">
        <v>385960</v>
      </c>
      <c r="H527" s="13">
        <v>392543</v>
      </c>
      <c r="I527" s="13">
        <v>594235000000</v>
      </c>
      <c r="J527" s="35" t="str">
        <f>TRIM(data__2[[#This Row],[Month (old)]])</f>
        <v>February</v>
      </c>
      <c r="K527" s="35" t="str">
        <f>TRIM(data__2[[#This Row],[Symbol (old)]])</f>
        <v>SP500</v>
      </c>
      <c r="L527" s="36" t="str">
        <f>LEFT(data__2[[#This Row],[Month (old2)]], 3)</f>
        <v>Feb</v>
      </c>
    </row>
    <row r="528" spans="2:12" x14ac:dyDescent="0.25">
      <c r="B528" s="33">
        <v>44251</v>
      </c>
      <c r="C528" s="34" t="s">
        <v>6</v>
      </c>
      <c r="D528" s="34" t="s">
        <v>5</v>
      </c>
      <c r="E528" s="13">
        <v>5096574</v>
      </c>
      <c r="F528" s="13">
        <v>5144201</v>
      </c>
      <c r="G528" s="13">
        <v>4811383</v>
      </c>
      <c r="H528" s="13">
        <v>5026689</v>
      </c>
      <c r="I528" s="13">
        <v>279846</v>
      </c>
      <c r="J528" s="35" t="str">
        <f>TRIM(data__2[[#This Row],[Month (old)]])</f>
        <v>Feb</v>
      </c>
      <c r="K528" s="35" t="str">
        <f>TRIM(data__2[[#This Row],[Symbol (old)]])</f>
        <v>BTCUSD</v>
      </c>
      <c r="L528" s="36" t="str">
        <f>LEFT(data__2[[#This Row],[Month (old2)]], 3)</f>
        <v>Feb</v>
      </c>
    </row>
    <row r="529" spans="2:12" x14ac:dyDescent="0.25">
      <c r="B529" s="33">
        <v>44250</v>
      </c>
      <c r="C529" s="34" t="s">
        <v>19</v>
      </c>
      <c r="D529" s="34" t="s">
        <v>18</v>
      </c>
      <c r="E529" s="13">
        <v>385707</v>
      </c>
      <c r="F529" s="13">
        <v>389598</v>
      </c>
      <c r="G529" s="13">
        <v>380559</v>
      </c>
      <c r="H529" s="13">
        <v>388137</v>
      </c>
      <c r="I529" s="13">
        <v>628065000000</v>
      </c>
      <c r="J529" s="35" t="str">
        <f>TRIM(data__2[[#This Row],[Month (old)]])</f>
        <v>February</v>
      </c>
      <c r="K529" s="35" t="str">
        <f>TRIM(data__2[[#This Row],[Symbol (old)]])</f>
        <v>SP500</v>
      </c>
      <c r="L529" s="36" t="str">
        <f>LEFT(data__2[[#This Row],[Month (old2)]], 3)</f>
        <v>Feb</v>
      </c>
    </row>
    <row r="530" spans="2:12" x14ac:dyDescent="0.25">
      <c r="B530" s="33">
        <v>44250</v>
      </c>
      <c r="C530" s="34" t="s">
        <v>6</v>
      </c>
      <c r="D530" s="34" t="s">
        <v>5</v>
      </c>
      <c r="E530" s="13">
        <v>5184725</v>
      </c>
      <c r="F530" s="13">
        <v>5229487</v>
      </c>
      <c r="G530" s="13">
        <v>4424800</v>
      </c>
      <c r="H530" s="13">
        <v>5096574</v>
      </c>
      <c r="I530" s="13">
        <v>664190</v>
      </c>
      <c r="J530" s="35" t="str">
        <f>TRIM(data__2[[#This Row],[Month (old)]])</f>
        <v>Feb</v>
      </c>
      <c r="K530" s="35" t="str">
        <f>TRIM(data__2[[#This Row],[Symbol (old)]])</f>
        <v>BTCUSD</v>
      </c>
      <c r="L530" s="36" t="str">
        <f>LEFT(data__2[[#This Row],[Month (old2)]], 3)</f>
        <v>Feb</v>
      </c>
    </row>
    <row r="531" spans="2:12" x14ac:dyDescent="0.25">
      <c r="B531" s="33">
        <v>44249</v>
      </c>
      <c r="C531" s="34" t="s">
        <v>19</v>
      </c>
      <c r="D531" s="34" t="s">
        <v>18</v>
      </c>
      <c r="E531" s="13">
        <v>388555</v>
      </c>
      <c r="F531" s="13">
        <v>390292</v>
      </c>
      <c r="G531" s="13">
        <v>387471</v>
      </c>
      <c r="H531" s="13">
        <v>387650</v>
      </c>
      <c r="I531" s="13">
        <v>587019000000</v>
      </c>
      <c r="J531" s="35" t="str">
        <f>TRIM(data__2[[#This Row],[Month (old)]])</f>
        <v>February</v>
      </c>
      <c r="K531" s="35" t="str">
        <f>TRIM(data__2[[#This Row],[Symbol (old)]])</f>
        <v>SP500</v>
      </c>
      <c r="L531" s="36" t="str">
        <f>LEFT(data__2[[#This Row],[Month (old2)]], 3)</f>
        <v>Feb</v>
      </c>
    </row>
    <row r="532" spans="2:12" x14ac:dyDescent="0.25">
      <c r="B532" s="33">
        <v>44249</v>
      </c>
      <c r="C532" s="34" t="s">
        <v>6</v>
      </c>
      <c r="D532" s="34" t="s">
        <v>5</v>
      </c>
      <c r="E532" s="13">
        <v>5591443</v>
      </c>
      <c r="F532" s="13">
        <v>5665147</v>
      </c>
      <c r="G532" s="13">
        <v>4700000</v>
      </c>
      <c r="H532" s="13">
        <v>5184725</v>
      </c>
      <c r="I532" s="13">
        <v>537131</v>
      </c>
      <c r="J532" s="35" t="str">
        <f>TRIM(data__2[[#This Row],[Month (old)]])</f>
        <v>Feb</v>
      </c>
      <c r="K532" s="35" t="str">
        <f>TRIM(data__2[[#This Row],[Symbol (old)]])</f>
        <v>BTCUSD</v>
      </c>
      <c r="L532" s="36" t="str">
        <f>LEFT(data__2[[#This Row],[Month (old2)]], 3)</f>
        <v>Feb</v>
      </c>
    </row>
    <row r="533" spans="2:12" x14ac:dyDescent="0.25">
      <c r="B533" s="33">
        <v>44248</v>
      </c>
      <c r="C533" s="34" t="s">
        <v>6</v>
      </c>
      <c r="D533" s="34" t="s">
        <v>5</v>
      </c>
      <c r="E533" s="13">
        <v>5654120</v>
      </c>
      <c r="F533" s="13">
        <v>5848160</v>
      </c>
      <c r="G533" s="13">
        <v>5580000</v>
      </c>
      <c r="H533" s="13">
        <v>5591443</v>
      </c>
      <c r="I533" s="13">
        <v>145490</v>
      </c>
      <c r="J533" s="35" t="str">
        <f>TRIM(data__2[[#This Row],[Month (old)]])</f>
        <v>Feb</v>
      </c>
      <c r="K533" s="35" t="str">
        <f>TRIM(data__2[[#This Row],[Symbol (old)]])</f>
        <v>BTCUSD</v>
      </c>
      <c r="L533" s="36" t="str">
        <f>LEFT(data__2[[#This Row],[Month (old2)]], 3)</f>
        <v>Feb</v>
      </c>
    </row>
    <row r="534" spans="2:12" x14ac:dyDescent="0.25">
      <c r="B534" s="33">
        <v>44247</v>
      </c>
      <c r="C534" s="34" t="s">
        <v>6</v>
      </c>
      <c r="D534" s="34" t="s">
        <v>5</v>
      </c>
      <c r="E534" s="13">
        <v>5576110</v>
      </c>
      <c r="F534" s="13">
        <v>5750000</v>
      </c>
      <c r="G534" s="13">
        <v>5400000</v>
      </c>
      <c r="H534" s="13">
        <v>5654120</v>
      </c>
      <c r="I534" s="13">
        <v>134919</v>
      </c>
      <c r="J534" s="35" t="str">
        <f>TRIM(data__2[[#This Row],[Month (old)]])</f>
        <v>Feb</v>
      </c>
      <c r="K534" s="35" t="str">
        <f>TRIM(data__2[[#This Row],[Symbol (old)]])</f>
        <v>BTCUSD</v>
      </c>
      <c r="L534" s="36" t="str">
        <f>LEFT(data__2[[#This Row],[Month (old2)]], 3)</f>
        <v>Feb</v>
      </c>
    </row>
    <row r="535" spans="2:12" x14ac:dyDescent="0.25">
      <c r="B535" s="33">
        <v>44246</v>
      </c>
      <c r="C535" s="34" t="s">
        <v>19</v>
      </c>
      <c r="D535" s="34" t="s">
        <v>18</v>
      </c>
      <c r="E535" s="13">
        <v>392116</v>
      </c>
      <c r="F535" s="13">
        <v>393041</v>
      </c>
      <c r="G535" s="13">
        <v>390307</v>
      </c>
      <c r="H535" s="13">
        <v>390671</v>
      </c>
      <c r="I535" s="13">
        <v>482394000000</v>
      </c>
      <c r="J535" s="35" t="str">
        <f>TRIM(data__2[[#This Row],[Month (old)]])</f>
        <v>February</v>
      </c>
      <c r="K535" s="35" t="str">
        <f>TRIM(data__2[[#This Row],[Symbol (old)]])</f>
        <v>SP500</v>
      </c>
      <c r="L535" s="36" t="str">
        <f>LEFT(data__2[[#This Row],[Month (old2)]], 3)</f>
        <v>Feb</v>
      </c>
    </row>
    <row r="536" spans="2:12" x14ac:dyDescent="0.25">
      <c r="B536" s="33">
        <v>44246</v>
      </c>
      <c r="C536" s="34" t="s">
        <v>6</v>
      </c>
      <c r="D536" s="34" t="s">
        <v>5</v>
      </c>
      <c r="E536" s="13">
        <v>5124123</v>
      </c>
      <c r="F536" s="13">
        <v>5660560</v>
      </c>
      <c r="G536" s="13">
        <v>5090600</v>
      </c>
      <c r="H536" s="13">
        <v>5576110</v>
      </c>
      <c r="I536" s="13">
        <v>314393</v>
      </c>
      <c r="J536" s="35" t="str">
        <f>TRIM(data__2[[#This Row],[Month (old)]])</f>
        <v>Feb</v>
      </c>
      <c r="K536" s="35" t="str">
        <f>TRIM(data__2[[#This Row],[Symbol (old)]])</f>
        <v>BTCUSD</v>
      </c>
      <c r="L536" s="36" t="str">
        <f>LEFT(data__2[[#This Row],[Month (old2)]], 3)</f>
        <v>Feb</v>
      </c>
    </row>
    <row r="537" spans="2:12" x14ac:dyDescent="0.25">
      <c r="B537" s="33">
        <v>44245</v>
      </c>
      <c r="C537" s="34" t="s">
        <v>19</v>
      </c>
      <c r="D537" s="34" t="s">
        <v>18</v>
      </c>
      <c r="E537" s="13">
        <v>391586</v>
      </c>
      <c r="F537" s="13">
        <v>392198</v>
      </c>
      <c r="G537" s="13">
        <v>388503</v>
      </c>
      <c r="H537" s="13">
        <v>391397</v>
      </c>
      <c r="I537" s="13">
        <v>477343000000</v>
      </c>
      <c r="J537" s="35" t="str">
        <f>TRIM(data__2[[#This Row],[Month (old)]])</f>
        <v>February</v>
      </c>
      <c r="K537" s="35" t="str">
        <f>TRIM(data__2[[#This Row],[Symbol (old)]])</f>
        <v>SP500</v>
      </c>
      <c r="L537" s="36" t="str">
        <f>LEFT(data__2[[#This Row],[Month (old2)]], 3)</f>
        <v>Feb</v>
      </c>
    </row>
    <row r="538" spans="2:12" x14ac:dyDescent="0.25">
      <c r="B538" s="33">
        <v>44245</v>
      </c>
      <c r="C538" s="34" t="s">
        <v>6</v>
      </c>
      <c r="D538" s="34" t="s">
        <v>5</v>
      </c>
      <c r="E538" s="13">
        <v>5206801</v>
      </c>
      <c r="F538" s="13">
        <v>5234400</v>
      </c>
      <c r="G538" s="13">
        <v>5050000</v>
      </c>
      <c r="H538" s="13">
        <v>5124123</v>
      </c>
      <c r="I538" s="13">
        <v>200260</v>
      </c>
      <c r="J538" s="35" t="str">
        <f>TRIM(data__2[[#This Row],[Month (old)]])</f>
        <v>Feb</v>
      </c>
      <c r="K538" s="35" t="str">
        <f>TRIM(data__2[[#This Row],[Symbol (old)]])</f>
        <v>BTCUSD</v>
      </c>
      <c r="L538" s="36" t="str">
        <f>LEFT(data__2[[#This Row],[Month (old2)]], 3)</f>
        <v>Feb</v>
      </c>
    </row>
    <row r="539" spans="2:12" x14ac:dyDescent="0.25">
      <c r="B539" s="33">
        <v>44244</v>
      </c>
      <c r="C539" s="34" t="s">
        <v>19</v>
      </c>
      <c r="D539" s="34" t="s">
        <v>18</v>
      </c>
      <c r="E539" s="13">
        <v>391850</v>
      </c>
      <c r="F539" s="13">
        <v>393361</v>
      </c>
      <c r="G539" s="13">
        <v>390043</v>
      </c>
      <c r="H539" s="13">
        <v>393133</v>
      </c>
      <c r="I539" s="13">
        <v>471828000000</v>
      </c>
      <c r="J539" s="35" t="str">
        <f>TRIM(data__2[[#This Row],[Month (old)]])</f>
        <v>February</v>
      </c>
      <c r="K539" s="35" t="str">
        <f>TRIM(data__2[[#This Row],[Symbol (old)]])</f>
        <v>SP500</v>
      </c>
      <c r="L539" s="36" t="str">
        <f>LEFT(data__2[[#This Row],[Month (old2)]], 3)</f>
        <v>Feb</v>
      </c>
    </row>
    <row r="540" spans="2:12" x14ac:dyDescent="0.25">
      <c r="B540" s="33">
        <v>44244</v>
      </c>
      <c r="C540" s="34" t="s">
        <v>6</v>
      </c>
      <c r="D540" s="34" t="s">
        <v>5</v>
      </c>
      <c r="E540" s="13">
        <v>4964993</v>
      </c>
      <c r="F540" s="13">
        <v>5266845</v>
      </c>
      <c r="G540" s="13">
        <v>4916423</v>
      </c>
      <c r="H540" s="13">
        <v>5206801</v>
      </c>
      <c r="I540" s="13">
        <v>285820</v>
      </c>
      <c r="J540" s="35" t="str">
        <f>TRIM(data__2[[#This Row],[Month (old)]])</f>
        <v>Feb</v>
      </c>
      <c r="K540" s="35" t="str">
        <f>TRIM(data__2[[#This Row],[Symbol (old)]])</f>
        <v>BTCUSD</v>
      </c>
      <c r="L540" s="36" t="str">
        <f>LEFT(data__2[[#This Row],[Month (old2)]], 3)</f>
        <v>Feb</v>
      </c>
    </row>
    <row r="541" spans="2:12" x14ac:dyDescent="0.25">
      <c r="B541" s="33">
        <v>44243</v>
      </c>
      <c r="C541" s="34" t="s">
        <v>19</v>
      </c>
      <c r="D541" s="34" t="s">
        <v>18</v>
      </c>
      <c r="E541" s="13">
        <v>393961</v>
      </c>
      <c r="F541" s="13">
        <v>395043</v>
      </c>
      <c r="G541" s="13">
        <v>392385</v>
      </c>
      <c r="H541" s="13">
        <v>393259</v>
      </c>
      <c r="I541" s="13">
        <v>503736000000</v>
      </c>
      <c r="J541" s="35" t="str">
        <f>TRIM(data__2[[#This Row],[Month (old)]])</f>
        <v>February</v>
      </c>
      <c r="K541" s="35" t="str">
        <f>TRIM(data__2[[#This Row],[Symbol (old)]])</f>
        <v>SP500</v>
      </c>
      <c r="L541" s="36" t="str">
        <f>LEFT(data__2[[#This Row],[Month (old2)]], 3)</f>
        <v>Feb</v>
      </c>
    </row>
    <row r="542" spans="2:12" x14ac:dyDescent="0.25">
      <c r="B542" s="33">
        <v>44243</v>
      </c>
      <c r="C542" s="34" t="s">
        <v>6</v>
      </c>
      <c r="D542" s="34" t="s">
        <v>5</v>
      </c>
      <c r="E542" s="13">
        <v>4958720</v>
      </c>
      <c r="F542" s="13">
        <v>5060234</v>
      </c>
      <c r="G542" s="13">
        <v>4781886</v>
      </c>
      <c r="H542" s="13">
        <v>4964993</v>
      </c>
      <c r="I542" s="13">
        <v>277627</v>
      </c>
      <c r="J542" s="35" t="str">
        <f>TRIM(data__2[[#This Row],[Month (old)]])</f>
        <v>Feb</v>
      </c>
      <c r="K542" s="35" t="str">
        <f>TRIM(data__2[[#This Row],[Symbol (old)]])</f>
        <v>BTCUSD</v>
      </c>
      <c r="L542" s="36" t="str">
        <f>LEFT(data__2[[#This Row],[Month (old2)]], 3)</f>
        <v>Feb</v>
      </c>
    </row>
    <row r="543" spans="2:12" x14ac:dyDescent="0.25">
      <c r="B543" s="33">
        <v>44242</v>
      </c>
      <c r="C543" s="34" t="s">
        <v>6</v>
      </c>
      <c r="D543" s="34" t="s">
        <v>5</v>
      </c>
      <c r="E543" s="13">
        <v>4718529</v>
      </c>
      <c r="F543" s="13">
        <v>4960000</v>
      </c>
      <c r="G543" s="13">
        <v>4633468</v>
      </c>
      <c r="H543" s="13">
        <v>4958720</v>
      </c>
      <c r="I543" s="13">
        <v>173603</v>
      </c>
      <c r="J543" s="35" t="str">
        <f>TRIM(data__2[[#This Row],[Month (old)]])</f>
        <v>Feb</v>
      </c>
      <c r="K543" s="35" t="str">
        <f>TRIM(data__2[[#This Row],[Symbol (old)]])</f>
        <v>BTCUSD</v>
      </c>
      <c r="L543" s="36" t="str">
        <f>LEFT(data__2[[#This Row],[Month (old2)]], 3)</f>
        <v>Feb</v>
      </c>
    </row>
    <row r="544" spans="2:12" x14ac:dyDescent="0.25">
      <c r="B544" s="33">
        <v>44241</v>
      </c>
      <c r="C544" s="34" t="s">
        <v>6</v>
      </c>
      <c r="D544" s="34" t="s">
        <v>5</v>
      </c>
      <c r="E544" s="13">
        <v>4738180</v>
      </c>
      <c r="F544" s="13">
        <v>4970000</v>
      </c>
      <c r="G544" s="13">
        <v>4583001</v>
      </c>
      <c r="H544" s="13">
        <v>4718529</v>
      </c>
      <c r="I544" s="13">
        <v>217490</v>
      </c>
      <c r="J544" s="35" t="str">
        <f>TRIM(data__2[[#This Row],[Month (old)]])</f>
        <v>Feb</v>
      </c>
      <c r="K544" s="35" t="str">
        <f>TRIM(data__2[[#This Row],[Symbol (old)]])</f>
        <v>BTCUSD</v>
      </c>
      <c r="L544" s="36" t="str">
        <f>LEFT(data__2[[#This Row],[Month (old2)]], 3)</f>
        <v>Feb</v>
      </c>
    </row>
    <row r="545" spans="2:12" x14ac:dyDescent="0.25">
      <c r="B545" s="33">
        <v>44240</v>
      </c>
      <c r="C545" s="34" t="s">
        <v>6</v>
      </c>
      <c r="D545" s="34" t="s">
        <v>5</v>
      </c>
      <c r="E545" s="13">
        <v>4793887</v>
      </c>
      <c r="F545" s="13">
        <v>4802730</v>
      </c>
      <c r="G545" s="13">
        <v>4629025</v>
      </c>
      <c r="H545" s="13">
        <v>4738180</v>
      </c>
      <c r="I545" s="13">
        <v>125244</v>
      </c>
      <c r="J545" s="35" t="str">
        <f>TRIM(data__2[[#This Row],[Month (old)]])</f>
        <v>Feb</v>
      </c>
      <c r="K545" s="35" t="str">
        <f>TRIM(data__2[[#This Row],[Symbol (old)]])</f>
        <v>BTCUSD</v>
      </c>
      <c r="L545" s="36" t="str">
        <f>LEFT(data__2[[#This Row],[Month (old2)]], 3)</f>
        <v>Feb</v>
      </c>
    </row>
    <row r="546" spans="2:12" x14ac:dyDescent="0.25">
      <c r="B546" s="33">
        <v>44239</v>
      </c>
      <c r="C546" s="34" t="s">
        <v>19</v>
      </c>
      <c r="D546" s="34" t="s">
        <v>18</v>
      </c>
      <c r="E546" s="13">
        <v>391165</v>
      </c>
      <c r="F546" s="13">
        <v>393723</v>
      </c>
      <c r="G546" s="13">
        <v>390578</v>
      </c>
      <c r="H546" s="13">
        <v>393483</v>
      </c>
      <c r="I546" s="13">
        <v>411926000000</v>
      </c>
      <c r="J546" s="35" t="str">
        <f>TRIM(data__2[[#This Row],[Month (old)]])</f>
        <v>February</v>
      </c>
      <c r="K546" s="35" t="str">
        <f>TRIM(data__2[[#This Row],[Symbol (old)]])</f>
        <v>SP500</v>
      </c>
      <c r="L546" s="36" t="str">
        <f>LEFT(data__2[[#This Row],[Month (old2)]], 3)</f>
        <v>Feb</v>
      </c>
    </row>
    <row r="547" spans="2:12" x14ac:dyDescent="0.25">
      <c r="B547" s="33">
        <v>44239</v>
      </c>
      <c r="C547" s="34" t="s">
        <v>6</v>
      </c>
      <c r="D547" s="34" t="s">
        <v>5</v>
      </c>
      <c r="E547" s="13">
        <v>4762429</v>
      </c>
      <c r="F547" s="13">
        <v>4824660</v>
      </c>
      <c r="G547" s="13">
        <v>4628993</v>
      </c>
      <c r="H547" s="13">
        <v>4793887</v>
      </c>
      <c r="I547" s="13">
        <v>241387</v>
      </c>
      <c r="J547" s="35" t="str">
        <f>TRIM(data__2[[#This Row],[Month (old)]])</f>
        <v>Feb</v>
      </c>
      <c r="K547" s="35" t="str">
        <f>TRIM(data__2[[#This Row],[Symbol (old)]])</f>
        <v>BTCUSD</v>
      </c>
      <c r="L547" s="36" t="str">
        <f>LEFT(data__2[[#This Row],[Month (old2)]], 3)</f>
        <v>Feb</v>
      </c>
    </row>
    <row r="548" spans="2:12" x14ac:dyDescent="0.25">
      <c r="B548" s="33">
        <v>44238</v>
      </c>
      <c r="C548" s="34" t="s">
        <v>19</v>
      </c>
      <c r="D548" s="34" t="s">
        <v>18</v>
      </c>
      <c r="E548" s="13">
        <v>391640</v>
      </c>
      <c r="F548" s="13">
        <v>392599</v>
      </c>
      <c r="G548" s="13">
        <v>389039</v>
      </c>
      <c r="H548" s="13">
        <v>391638</v>
      </c>
      <c r="I548" s="13">
        <v>457008000000</v>
      </c>
      <c r="J548" s="35" t="str">
        <f>TRIM(data__2[[#This Row],[Month (old)]])</f>
        <v>February</v>
      </c>
      <c r="K548" s="35" t="str">
        <f>TRIM(data__2[[#This Row],[Symbol (old)]])</f>
        <v>SP500</v>
      </c>
      <c r="L548" s="36" t="str">
        <f>LEFT(data__2[[#This Row],[Month (old2)]], 3)</f>
        <v>Feb</v>
      </c>
    </row>
    <row r="549" spans="2:12" x14ac:dyDescent="0.25">
      <c r="B549" s="33">
        <v>44238</v>
      </c>
      <c r="C549" s="34" t="s">
        <v>6</v>
      </c>
      <c r="D549" s="34" t="s">
        <v>5</v>
      </c>
      <c r="E549" s="13">
        <v>4551394</v>
      </c>
      <c r="F549" s="13">
        <v>4897500</v>
      </c>
      <c r="G549" s="13">
        <v>4445755</v>
      </c>
      <c r="H549" s="13">
        <v>4762429</v>
      </c>
      <c r="I549" s="13">
        <v>258900</v>
      </c>
      <c r="J549" s="35" t="str">
        <f>TRIM(data__2[[#This Row],[Month (old)]])</f>
        <v>Feb</v>
      </c>
      <c r="K549" s="35" t="str">
        <f>TRIM(data__2[[#This Row],[Symbol (old)]])</f>
        <v>BTCUSD</v>
      </c>
      <c r="L549" s="36" t="str">
        <f>LEFT(data__2[[#This Row],[Month (old2)]], 3)</f>
        <v>Feb</v>
      </c>
    </row>
    <row r="550" spans="2:12" x14ac:dyDescent="0.25">
      <c r="B550" s="33">
        <v>44237</v>
      </c>
      <c r="C550" s="34" t="s">
        <v>19</v>
      </c>
      <c r="D550" s="34" t="s">
        <v>18</v>
      </c>
      <c r="E550" s="13">
        <v>392078</v>
      </c>
      <c r="F550" s="13">
        <v>393150</v>
      </c>
      <c r="G550" s="13">
        <v>388494</v>
      </c>
      <c r="H550" s="13">
        <v>390988</v>
      </c>
      <c r="I550" s="13">
        <v>481538000000</v>
      </c>
      <c r="J550" s="35" t="str">
        <f>TRIM(data__2[[#This Row],[Month (old)]])</f>
        <v>February</v>
      </c>
      <c r="K550" s="35" t="str">
        <f>TRIM(data__2[[#This Row],[Symbol (old)]])</f>
        <v>SP500</v>
      </c>
      <c r="L550" s="36" t="str">
        <f>LEFT(data__2[[#This Row],[Month (old2)]], 3)</f>
        <v>Feb</v>
      </c>
    </row>
    <row r="551" spans="2:12" x14ac:dyDescent="0.25">
      <c r="B551" s="33">
        <v>44237</v>
      </c>
      <c r="C551" s="34" t="s">
        <v>6</v>
      </c>
      <c r="D551" s="34" t="s">
        <v>5</v>
      </c>
      <c r="E551" s="13">
        <v>4630988</v>
      </c>
      <c r="F551" s="13">
        <v>4736717</v>
      </c>
      <c r="G551" s="13">
        <v>4376299</v>
      </c>
      <c r="H551" s="13">
        <v>4551394</v>
      </c>
      <c r="I551" s="13">
        <v>247969</v>
      </c>
      <c r="J551" s="35" t="str">
        <f>TRIM(data__2[[#This Row],[Month (old)]])</f>
        <v>Feb</v>
      </c>
      <c r="K551" s="35" t="str">
        <f>TRIM(data__2[[#This Row],[Symbol (old)]])</f>
        <v>BTCUSD</v>
      </c>
      <c r="L551" s="36" t="str">
        <f>LEFT(data__2[[#This Row],[Month (old2)]], 3)</f>
        <v>Feb</v>
      </c>
    </row>
    <row r="552" spans="2:12" x14ac:dyDescent="0.25">
      <c r="B552" s="33">
        <v>44236</v>
      </c>
      <c r="C552" s="34" t="s">
        <v>19</v>
      </c>
      <c r="D552" s="34" t="s">
        <v>18</v>
      </c>
      <c r="E552" s="13">
        <v>391049</v>
      </c>
      <c r="F552" s="13">
        <v>391835</v>
      </c>
      <c r="G552" s="13">
        <v>390264</v>
      </c>
      <c r="H552" s="13">
        <v>391123</v>
      </c>
      <c r="I552" s="13">
        <v>455461000000</v>
      </c>
      <c r="J552" s="35" t="str">
        <f>TRIM(data__2[[#This Row],[Month (old)]])</f>
        <v>February</v>
      </c>
      <c r="K552" s="35" t="str">
        <f>TRIM(data__2[[#This Row],[Symbol (old)]])</f>
        <v>SP500</v>
      </c>
      <c r="L552" s="36" t="str">
        <f>LEFT(data__2[[#This Row],[Month (old2)]], 3)</f>
        <v>Feb</v>
      </c>
    </row>
    <row r="553" spans="2:12" x14ac:dyDescent="0.25">
      <c r="B553" s="33">
        <v>44236</v>
      </c>
      <c r="C553" s="34" t="s">
        <v>6</v>
      </c>
      <c r="D553" s="34" t="s">
        <v>5</v>
      </c>
      <c r="E553" s="13">
        <v>4665350</v>
      </c>
      <c r="F553" s="13">
        <v>4820123</v>
      </c>
      <c r="G553" s="13">
        <v>4503780</v>
      </c>
      <c r="H553" s="13">
        <v>4630988</v>
      </c>
      <c r="I553" s="13">
        <v>299216</v>
      </c>
      <c r="J553" s="35" t="str">
        <f>TRIM(data__2[[#This Row],[Month (old)]])</f>
        <v>Feb</v>
      </c>
      <c r="K553" s="35" t="str">
        <f>TRIM(data__2[[#This Row],[Symbol (old)]])</f>
        <v>BTCUSD</v>
      </c>
      <c r="L553" s="36" t="str">
        <f>LEFT(data__2[[#This Row],[Month (old2)]], 3)</f>
        <v>Feb</v>
      </c>
    </row>
    <row r="554" spans="2:12" x14ac:dyDescent="0.25">
      <c r="B554" s="33">
        <v>44235</v>
      </c>
      <c r="C554" s="34" t="s">
        <v>19</v>
      </c>
      <c r="D554" s="34" t="s">
        <v>18</v>
      </c>
      <c r="E554" s="13">
        <v>389259</v>
      </c>
      <c r="F554" s="13">
        <v>391577</v>
      </c>
      <c r="G554" s="13">
        <v>389259</v>
      </c>
      <c r="H554" s="13">
        <v>391559</v>
      </c>
      <c r="I554" s="13">
        <v>463503000000</v>
      </c>
      <c r="J554" s="35" t="str">
        <f>TRIM(data__2[[#This Row],[Month (old)]])</f>
        <v>February</v>
      </c>
      <c r="K554" s="35" t="str">
        <f>TRIM(data__2[[#This Row],[Symbol (old)]])</f>
        <v>SP500</v>
      </c>
      <c r="L554" s="36" t="str">
        <f>LEFT(data__2[[#This Row],[Month (old2)]], 3)</f>
        <v>Feb</v>
      </c>
    </row>
    <row r="555" spans="2:12" x14ac:dyDescent="0.25">
      <c r="B555" s="33">
        <v>44235</v>
      </c>
      <c r="C555" s="34" t="s">
        <v>6</v>
      </c>
      <c r="D555" s="34" t="s">
        <v>5</v>
      </c>
      <c r="E555" s="13">
        <v>3810734</v>
      </c>
      <c r="F555" s="13">
        <v>4751931</v>
      </c>
      <c r="G555" s="13">
        <v>3806068</v>
      </c>
      <c r="H555" s="13">
        <v>4665350</v>
      </c>
      <c r="I555" s="13">
        <v>594437</v>
      </c>
      <c r="J555" s="35" t="str">
        <f>TRIM(data__2[[#This Row],[Month (old)]])</f>
        <v>Feb</v>
      </c>
      <c r="K555" s="35" t="str">
        <f>TRIM(data__2[[#This Row],[Symbol (old)]])</f>
        <v>BTCUSD</v>
      </c>
      <c r="L555" s="36" t="str">
        <f>LEFT(data__2[[#This Row],[Month (old2)]], 3)</f>
        <v>Feb</v>
      </c>
    </row>
    <row r="556" spans="2:12" x14ac:dyDescent="0.25">
      <c r="B556" s="33">
        <v>44234</v>
      </c>
      <c r="C556" s="34" t="s">
        <v>6</v>
      </c>
      <c r="D556" s="34" t="s">
        <v>5</v>
      </c>
      <c r="E556" s="13">
        <v>3889795</v>
      </c>
      <c r="F556" s="13">
        <v>3974896</v>
      </c>
      <c r="G556" s="13">
        <v>3740000</v>
      </c>
      <c r="H556" s="13">
        <v>3810734</v>
      </c>
      <c r="I556" s="13">
        <v>123987</v>
      </c>
      <c r="J556" s="35" t="str">
        <f>TRIM(data__2[[#This Row],[Month (old)]])</f>
        <v>Feb</v>
      </c>
      <c r="K556" s="35" t="str">
        <f>TRIM(data__2[[#This Row],[Symbol (old)]])</f>
        <v>BTCUSD</v>
      </c>
      <c r="L556" s="36" t="str">
        <f>LEFT(data__2[[#This Row],[Month (old2)]], 3)</f>
        <v>Feb</v>
      </c>
    </row>
    <row r="557" spans="2:12" x14ac:dyDescent="0.25">
      <c r="B557" s="33">
        <v>44233</v>
      </c>
      <c r="C557" s="34" t="s">
        <v>6</v>
      </c>
      <c r="D557" s="34" t="s">
        <v>5</v>
      </c>
      <c r="E557" s="13">
        <v>3941576</v>
      </c>
      <c r="F557" s="13">
        <v>4100000</v>
      </c>
      <c r="G557" s="13">
        <v>3836869</v>
      </c>
      <c r="H557" s="13">
        <v>3889795</v>
      </c>
      <c r="I557" s="13">
        <v>200211</v>
      </c>
      <c r="J557" s="35" t="str">
        <f>TRIM(data__2[[#This Row],[Month (old)]])</f>
        <v>Feb</v>
      </c>
      <c r="K557" s="35" t="str">
        <f>TRIM(data__2[[#This Row],[Symbol (old)]])</f>
        <v>BTCUSD</v>
      </c>
      <c r="L557" s="36" t="str">
        <f>LEFT(data__2[[#This Row],[Month (old2)]], 3)</f>
        <v>Feb</v>
      </c>
    </row>
    <row r="558" spans="2:12" x14ac:dyDescent="0.25">
      <c r="B558" s="33">
        <v>44232</v>
      </c>
      <c r="C558" s="34" t="s">
        <v>19</v>
      </c>
      <c r="D558" s="34" t="s">
        <v>18</v>
      </c>
      <c r="E558" s="13">
        <v>387830</v>
      </c>
      <c r="F558" s="13">
        <v>389456</v>
      </c>
      <c r="G558" s="13">
        <v>387493</v>
      </c>
      <c r="H558" s="13">
        <v>388683</v>
      </c>
      <c r="I558" s="13">
        <v>483858000000</v>
      </c>
      <c r="J558" s="35" t="str">
        <f>TRIM(data__2[[#This Row],[Month (old)]])</f>
        <v>February</v>
      </c>
      <c r="K558" s="35" t="str">
        <f>TRIM(data__2[[#This Row],[Symbol (old)]])</f>
        <v>SP500</v>
      </c>
      <c r="L558" s="36" t="str">
        <f>LEFT(data__2[[#This Row],[Month (old2)]], 3)</f>
        <v>Feb</v>
      </c>
    </row>
    <row r="559" spans="2:12" x14ac:dyDescent="0.25">
      <c r="B559" s="33">
        <v>44232</v>
      </c>
      <c r="C559" s="34" t="s">
        <v>6</v>
      </c>
      <c r="D559" s="34" t="s">
        <v>5</v>
      </c>
      <c r="E559" s="13">
        <v>3738018</v>
      </c>
      <c r="F559" s="13">
        <v>3970000</v>
      </c>
      <c r="G559" s="13">
        <v>3705778</v>
      </c>
      <c r="H559" s="13">
        <v>3941576</v>
      </c>
      <c r="I559" s="13">
        <v>203278</v>
      </c>
      <c r="J559" s="35" t="str">
        <f>TRIM(data__2[[#This Row],[Month (old)]])</f>
        <v>Feb</v>
      </c>
      <c r="K559" s="35" t="str">
        <f>TRIM(data__2[[#This Row],[Symbol (old)]])</f>
        <v>BTCUSD</v>
      </c>
      <c r="L559" s="36" t="str">
        <f>LEFT(data__2[[#This Row],[Month (old2)]], 3)</f>
        <v>Feb</v>
      </c>
    </row>
    <row r="560" spans="2:12" x14ac:dyDescent="0.25">
      <c r="B560" s="33">
        <v>44231</v>
      </c>
      <c r="C560" s="34" t="s">
        <v>19</v>
      </c>
      <c r="D560" s="34" t="s">
        <v>18</v>
      </c>
      <c r="E560" s="13">
        <v>383666</v>
      </c>
      <c r="F560" s="13">
        <v>387242</v>
      </c>
      <c r="G560" s="13">
        <v>383666</v>
      </c>
      <c r="H560" s="13">
        <v>387174</v>
      </c>
      <c r="I560" s="13">
        <v>485667000000</v>
      </c>
      <c r="J560" s="35" t="str">
        <f>TRIM(data__2[[#This Row],[Month (old)]])</f>
        <v>February</v>
      </c>
      <c r="K560" s="35" t="str">
        <f>TRIM(data__2[[#This Row],[Symbol (old)]])</f>
        <v>SP500</v>
      </c>
      <c r="L560" s="36" t="str">
        <f>LEFT(data__2[[#This Row],[Month (old2)]], 3)</f>
        <v>Feb</v>
      </c>
    </row>
    <row r="561" spans="2:12" x14ac:dyDescent="0.25">
      <c r="B561" s="33">
        <v>44231</v>
      </c>
      <c r="C561" s="34" t="s">
        <v>6</v>
      </c>
      <c r="D561" s="34" t="s">
        <v>5</v>
      </c>
      <c r="E561" s="13">
        <v>3755156</v>
      </c>
      <c r="F561" s="13">
        <v>3878599</v>
      </c>
      <c r="G561" s="13">
        <v>3621108</v>
      </c>
      <c r="H561" s="13">
        <v>3738018</v>
      </c>
      <c r="I561" s="13">
        <v>263709</v>
      </c>
      <c r="J561" s="35" t="str">
        <f>TRIM(data__2[[#This Row],[Month (old)]])</f>
        <v>Feb</v>
      </c>
      <c r="K561" s="35" t="str">
        <f>TRIM(data__2[[#This Row],[Symbol (old)]])</f>
        <v>BTCUSD</v>
      </c>
      <c r="L561" s="36" t="str">
        <f>LEFT(data__2[[#This Row],[Month (old2)]], 3)</f>
        <v>Feb</v>
      </c>
    </row>
    <row r="562" spans="2:12" x14ac:dyDescent="0.25">
      <c r="B562" s="33">
        <v>44230</v>
      </c>
      <c r="C562" s="34" t="s">
        <v>19</v>
      </c>
      <c r="D562" s="34" t="s">
        <v>18</v>
      </c>
      <c r="E562" s="13">
        <v>384027</v>
      </c>
      <c r="F562" s="13">
        <v>384751</v>
      </c>
      <c r="G562" s="13">
        <v>381668</v>
      </c>
      <c r="H562" s="13">
        <v>383017</v>
      </c>
      <c r="I562" s="13">
        <v>484690000000</v>
      </c>
      <c r="J562" s="35" t="str">
        <f>TRIM(data__2[[#This Row],[Month (old)]])</f>
        <v>February</v>
      </c>
      <c r="K562" s="35" t="str">
        <f>TRIM(data__2[[#This Row],[Symbol (old)]])</f>
        <v>SP500</v>
      </c>
      <c r="L562" s="36" t="str">
        <f>LEFT(data__2[[#This Row],[Month (old2)]], 3)</f>
        <v>Feb</v>
      </c>
    </row>
    <row r="563" spans="2:12" x14ac:dyDescent="0.25">
      <c r="B563" s="33">
        <v>44230</v>
      </c>
      <c r="C563" s="34" t="s">
        <v>6</v>
      </c>
      <c r="D563" s="34" t="s">
        <v>5</v>
      </c>
      <c r="E563" s="13">
        <v>3646728</v>
      </c>
      <c r="F563" s="13">
        <v>3837500</v>
      </c>
      <c r="G563" s="13">
        <v>3558318</v>
      </c>
      <c r="H563" s="13">
        <v>3755156</v>
      </c>
      <c r="I563" s="13">
        <v>255971</v>
      </c>
      <c r="J563" s="35" t="str">
        <f>TRIM(data__2[[#This Row],[Month (old)]])</f>
        <v>Feb</v>
      </c>
      <c r="K563" s="35" t="str">
        <f>TRIM(data__2[[#This Row],[Symbol (old)]])</f>
        <v>BTCUSD</v>
      </c>
      <c r="L563" s="36" t="str">
        <f>LEFT(data__2[[#This Row],[Month (old2)]], 3)</f>
        <v>Feb</v>
      </c>
    </row>
    <row r="564" spans="2:12" x14ac:dyDescent="0.25">
      <c r="B564" s="33">
        <v>44229</v>
      </c>
      <c r="C564" s="34" t="s">
        <v>19</v>
      </c>
      <c r="D564" s="34" t="s">
        <v>18</v>
      </c>
      <c r="E564" s="13">
        <v>379184</v>
      </c>
      <c r="F564" s="13">
        <v>384309</v>
      </c>
      <c r="G564" s="13">
        <v>379184</v>
      </c>
      <c r="H564" s="13">
        <v>382631</v>
      </c>
      <c r="I564" s="13">
        <v>549537000000</v>
      </c>
      <c r="J564" s="35" t="str">
        <f>TRIM(data__2[[#This Row],[Month (old)]])</f>
        <v>February</v>
      </c>
      <c r="K564" s="35" t="str">
        <f>TRIM(data__2[[#This Row],[Symbol (old)]])</f>
        <v>SP500</v>
      </c>
      <c r="L564" s="36" t="str">
        <f>LEFT(data__2[[#This Row],[Month (old2)]], 3)</f>
        <v>Feb</v>
      </c>
    </row>
    <row r="565" spans="2:12" x14ac:dyDescent="0.25">
      <c r="B565" s="33">
        <v>44229</v>
      </c>
      <c r="C565" s="34" t="s">
        <v>6</v>
      </c>
      <c r="D565" s="34" t="s">
        <v>5</v>
      </c>
      <c r="E565" s="13">
        <v>3358989</v>
      </c>
      <c r="F565" s="13">
        <v>3654505</v>
      </c>
      <c r="G565" s="13">
        <v>3353561</v>
      </c>
      <c r="H565" s="13">
        <v>3646728</v>
      </c>
      <c r="I565" s="13">
        <v>232835</v>
      </c>
      <c r="J565" s="35" t="str">
        <f>TRIM(data__2[[#This Row],[Month (old)]])</f>
        <v>Feb</v>
      </c>
      <c r="K565" s="35" t="str">
        <f>TRIM(data__2[[#This Row],[Symbol (old)]])</f>
        <v>BTCUSD</v>
      </c>
      <c r="L565" s="36" t="str">
        <f>LEFT(data__2[[#This Row],[Month (old2)]], 3)</f>
        <v>Feb</v>
      </c>
    </row>
    <row r="566" spans="2:12" x14ac:dyDescent="0.25">
      <c r="B566" s="33">
        <v>44228</v>
      </c>
      <c r="C566" s="34" t="s">
        <v>19</v>
      </c>
      <c r="D566" s="34" t="s">
        <v>18</v>
      </c>
      <c r="E566" s="13">
        <v>373117</v>
      </c>
      <c r="F566" s="13">
        <v>378432</v>
      </c>
      <c r="G566" s="13">
        <v>372562</v>
      </c>
      <c r="H566" s="13">
        <v>377386</v>
      </c>
      <c r="I566" s="13">
        <v>539287000000</v>
      </c>
      <c r="J566" s="35" t="str">
        <f>TRIM(data__2[[#This Row],[Month (old)]])</f>
        <v>February</v>
      </c>
      <c r="K566" s="35" t="str">
        <f>TRIM(data__2[[#This Row],[Symbol (old)]])</f>
        <v>SP500</v>
      </c>
      <c r="L566" s="36" t="str">
        <f>LEFT(data__2[[#This Row],[Month (old2)]], 3)</f>
        <v>Feb</v>
      </c>
    </row>
    <row r="567" spans="2:12" x14ac:dyDescent="0.25">
      <c r="B567" s="33">
        <v>44228</v>
      </c>
      <c r="C567" s="34" t="s">
        <v>6</v>
      </c>
      <c r="D567" s="34" t="s">
        <v>5</v>
      </c>
      <c r="E567" s="13">
        <v>3360878</v>
      </c>
      <c r="F567" s="13">
        <v>3470000</v>
      </c>
      <c r="G567" s="13">
        <v>3310609</v>
      </c>
      <c r="H567" s="13">
        <v>3358989</v>
      </c>
      <c r="I567" s="13">
        <v>213459</v>
      </c>
      <c r="J567" s="35" t="str">
        <f>TRIM(data__2[[#This Row],[Month (old)]])</f>
        <v>Feb</v>
      </c>
      <c r="K567" s="35" t="str">
        <f>TRIM(data__2[[#This Row],[Symbol (old)]])</f>
        <v>BTCUSD</v>
      </c>
      <c r="L567" s="36" t="str">
        <f>LEFT(data__2[[#This Row],[Month (old2)]], 3)</f>
        <v>Feb</v>
      </c>
    </row>
    <row r="568" spans="2:12" x14ac:dyDescent="0.25">
      <c r="B568" s="33">
        <v>44227</v>
      </c>
      <c r="C568" s="34" t="s">
        <v>4</v>
      </c>
      <c r="D568" s="34" t="s">
        <v>5</v>
      </c>
      <c r="E568" s="13">
        <v>3394979</v>
      </c>
      <c r="F568" s="13">
        <v>3420500</v>
      </c>
      <c r="G568" s="13">
        <v>3220000</v>
      </c>
      <c r="H568" s="13">
        <v>3360878</v>
      </c>
      <c r="I568" s="13">
        <v>115346</v>
      </c>
      <c r="J568" s="35" t="str">
        <f>TRIM(data__2[[#This Row],[Month (old)]])</f>
        <v>Jan</v>
      </c>
      <c r="K568" s="35" t="str">
        <f>TRIM(data__2[[#This Row],[Symbol (old)]])</f>
        <v>BTCUSD</v>
      </c>
      <c r="L568" s="36" t="str">
        <f>LEFT(data__2[[#This Row],[Month (old2)]], 3)</f>
        <v>Jan</v>
      </c>
    </row>
    <row r="569" spans="2:12" x14ac:dyDescent="0.25">
      <c r="B569" s="33">
        <v>44226</v>
      </c>
      <c r="C569" s="34" t="s">
        <v>4</v>
      </c>
      <c r="D569" s="34" t="s">
        <v>5</v>
      </c>
      <c r="E569" s="13">
        <v>3328913</v>
      </c>
      <c r="F569" s="13">
        <v>3480565</v>
      </c>
      <c r="G569" s="13">
        <v>3315317</v>
      </c>
      <c r="H569" s="13">
        <v>3394979</v>
      </c>
      <c r="I569" s="13">
        <v>137903</v>
      </c>
      <c r="J569" s="35" t="str">
        <f>TRIM(data__2[[#This Row],[Month (old)]])</f>
        <v>Jan</v>
      </c>
      <c r="K569" s="35" t="str">
        <f>TRIM(data__2[[#This Row],[Symbol (old)]])</f>
        <v>BTCUSD</v>
      </c>
      <c r="L569" s="36" t="str">
        <f>LEFT(data__2[[#This Row],[Month (old2)]], 3)</f>
        <v>Jan</v>
      </c>
    </row>
    <row r="570" spans="2:12" x14ac:dyDescent="0.25">
      <c r="B570" s="33">
        <v>44225</v>
      </c>
      <c r="C570" s="34" t="s">
        <v>17</v>
      </c>
      <c r="D570" s="34" t="s">
        <v>18</v>
      </c>
      <c r="E570" s="13">
        <v>377805</v>
      </c>
      <c r="F570" s="13">
        <v>377805</v>
      </c>
      <c r="G570" s="13">
        <v>369412</v>
      </c>
      <c r="H570" s="13">
        <v>371424</v>
      </c>
      <c r="I570" s="13">
        <v>661257000000</v>
      </c>
      <c r="J570" s="35" t="str">
        <f>TRIM(data__2[[#This Row],[Month (old)]])</f>
        <v>January</v>
      </c>
      <c r="K570" s="35" t="str">
        <f>TRIM(data__2[[#This Row],[Symbol (old)]])</f>
        <v>SP500</v>
      </c>
      <c r="L570" s="36" t="str">
        <f>LEFT(data__2[[#This Row],[Month (old2)]], 3)</f>
        <v>Jan</v>
      </c>
    </row>
    <row r="571" spans="2:12" x14ac:dyDescent="0.25">
      <c r="B571" s="33">
        <v>44225</v>
      </c>
      <c r="C571" s="34" t="s">
        <v>4</v>
      </c>
      <c r="D571" s="34" t="s">
        <v>5</v>
      </c>
      <c r="E571" s="13">
        <v>3386401</v>
      </c>
      <c r="F571" s="13">
        <v>3866571</v>
      </c>
      <c r="G571" s="13">
        <v>3196827</v>
      </c>
      <c r="H571" s="13">
        <v>3328913</v>
      </c>
      <c r="I571" s="13">
        <v>773343</v>
      </c>
      <c r="J571" s="35" t="str">
        <f>TRIM(data__2[[#This Row],[Month (old)]])</f>
        <v>Jan</v>
      </c>
      <c r="K571" s="35" t="str">
        <f>TRIM(data__2[[#This Row],[Symbol (old)]])</f>
        <v>BTCUSD</v>
      </c>
      <c r="L571" s="36" t="str">
        <f>LEFT(data__2[[#This Row],[Month (old2)]], 3)</f>
        <v>Jan</v>
      </c>
    </row>
    <row r="572" spans="2:12" x14ac:dyDescent="0.25">
      <c r="B572" s="33">
        <v>44224</v>
      </c>
      <c r="C572" s="34" t="s">
        <v>17</v>
      </c>
      <c r="D572" s="34" t="s">
        <v>18</v>
      </c>
      <c r="E572" s="13">
        <v>375575</v>
      </c>
      <c r="F572" s="13">
        <v>383050</v>
      </c>
      <c r="G572" s="13">
        <v>375575</v>
      </c>
      <c r="H572" s="13">
        <v>378738</v>
      </c>
      <c r="I572" s="13">
        <v>693796000000</v>
      </c>
      <c r="J572" s="35" t="str">
        <f>TRIM(data__2[[#This Row],[Month (old)]])</f>
        <v>January</v>
      </c>
      <c r="K572" s="35" t="str">
        <f>TRIM(data__2[[#This Row],[Symbol (old)]])</f>
        <v>SP500</v>
      </c>
      <c r="L572" s="36" t="str">
        <f>LEFT(data__2[[#This Row],[Month (old2)]], 3)</f>
        <v>Jan</v>
      </c>
    </row>
    <row r="573" spans="2:12" x14ac:dyDescent="0.25">
      <c r="B573" s="33">
        <v>44224</v>
      </c>
      <c r="C573" s="34" t="s">
        <v>4</v>
      </c>
      <c r="D573" s="34" t="s">
        <v>5</v>
      </c>
      <c r="E573" s="13">
        <v>3151454</v>
      </c>
      <c r="F573" s="13">
        <v>3467177</v>
      </c>
      <c r="G573" s="13">
        <v>3086639</v>
      </c>
      <c r="H573" s="13">
        <v>3386401</v>
      </c>
      <c r="I573" s="13">
        <v>461455</v>
      </c>
      <c r="J573" s="35" t="str">
        <f>TRIM(data__2[[#This Row],[Month (old)]])</f>
        <v>Jan</v>
      </c>
      <c r="K573" s="35" t="str">
        <f>TRIM(data__2[[#This Row],[Symbol (old)]])</f>
        <v>BTCUSD</v>
      </c>
      <c r="L573" s="36" t="str">
        <f>LEFT(data__2[[#This Row],[Month (old2)]], 3)</f>
        <v>Jan</v>
      </c>
    </row>
    <row r="574" spans="2:12" x14ac:dyDescent="0.25">
      <c r="B574" s="33">
        <v>44223</v>
      </c>
      <c r="C574" s="34" t="s">
        <v>17</v>
      </c>
      <c r="D574" s="34" t="s">
        <v>18</v>
      </c>
      <c r="E574" s="13">
        <v>383683</v>
      </c>
      <c r="F574" s="13">
        <v>383683</v>
      </c>
      <c r="G574" s="13">
        <v>373248</v>
      </c>
      <c r="H574" s="13">
        <v>375077</v>
      </c>
      <c r="I574" s="13">
        <v>987804000000</v>
      </c>
      <c r="J574" s="35" t="str">
        <f>TRIM(data__2[[#This Row],[Month (old)]])</f>
        <v>January</v>
      </c>
      <c r="K574" s="35" t="str">
        <f>TRIM(data__2[[#This Row],[Symbol (old)]])</f>
        <v>SP500</v>
      </c>
      <c r="L574" s="36" t="str">
        <f>LEFT(data__2[[#This Row],[Month (old2)]], 3)</f>
        <v>Jan</v>
      </c>
    </row>
    <row r="575" spans="2:12" x14ac:dyDescent="0.25">
      <c r="B575" s="33">
        <v>44223</v>
      </c>
      <c r="C575" s="34" t="s">
        <v>4</v>
      </c>
      <c r="D575" s="34" t="s">
        <v>5</v>
      </c>
      <c r="E575" s="13">
        <v>3185260</v>
      </c>
      <c r="F575" s="13">
        <v>3205973</v>
      </c>
      <c r="G575" s="13">
        <v>2919190</v>
      </c>
      <c r="H575" s="13">
        <v>3151454</v>
      </c>
      <c r="I575" s="13">
        <v>577914</v>
      </c>
      <c r="J575" s="35" t="str">
        <f>TRIM(data__2[[#This Row],[Month (old)]])</f>
        <v>Jan</v>
      </c>
      <c r="K575" s="35" t="str">
        <f>TRIM(data__2[[#This Row],[Symbol (old)]])</f>
        <v>BTCUSD</v>
      </c>
      <c r="L575" s="36" t="str">
        <f>LEFT(data__2[[#This Row],[Month (old2)]], 3)</f>
        <v>Jan</v>
      </c>
    </row>
    <row r="576" spans="2:12" x14ac:dyDescent="0.25">
      <c r="B576" s="33">
        <v>44222</v>
      </c>
      <c r="C576" s="34" t="s">
        <v>17</v>
      </c>
      <c r="D576" s="34" t="s">
        <v>18</v>
      </c>
      <c r="E576" s="13">
        <v>386296</v>
      </c>
      <c r="F576" s="13">
        <v>387090</v>
      </c>
      <c r="G576" s="13">
        <v>384778</v>
      </c>
      <c r="H576" s="13">
        <v>384962</v>
      </c>
      <c r="I576" s="13">
        <v>602909000000</v>
      </c>
      <c r="J576" s="35" t="str">
        <f>TRIM(data__2[[#This Row],[Month (old)]])</f>
        <v>January</v>
      </c>
      <c r="K576" s="35" t="str">
        <f>TRIM(data__2[[#This Row],[Symbol (old)]])</f>
        <v>SP500</v>
      </c>
      <c r="L576" s="36" t="str">
        <f>LEFT(data__2[[#This Row],[Month (old2)]], 3)</f>
        <v>Jan</v>
      </c>
    </row>
    <row r="577" spans="2:12" x14ac:dyDescent="0.25">
      <c r="B577" s="33">
        <v>44222</v>
      </c>
      <c r="C577" s="34" t="s">
        <v>4</v>
      </c>
      <c r="D577" s="34" t="s">
        <v>5</v>
      </c>
      <c r="E577" s="13">
        <v>3155764</v>
      </c>
      <c r="F577" s="13">
        <v>3295100</v>
      </c>
      <c r="G577" s="13">
        <v>3083397</v>
      </c>
      <c r="H577" s="13">
        <v>3185260</v>
      </c>
      <c r="I577" s="13">
        <v>254286</v>
      </c>
      <c r="J577" s="35" t="str">
        <f>TRIM(data__2[[#This Row],[Month (old)]])</f>
        <v>Jan</v>
      </c>
      <c r="K577" s="35" t="str">
        <f>TRIM(data__2[[#This Row],[Symbol (old)]])</f>
        <v>BTCUSD</v>
      </c>
      <c r="L577" s="36" t="str">
        <f>LEFT(data__2[[#This Row],[Month (old2)]], 3)</f>
        <v>Jan</v>
      </c>
    </row>
    <row r="578" spans="2:12" x14ac:dyDescent="0.25">
      <c r="B578" s="33">
        <v>44221</v>
      </c>
      <c r="C578" s="34" t="s">
        <v>17</v>
      </c>
      <c r="D578" s="34" t="s">
        <v>18</v>
      </c>
      <c r="E578" s="13">
        <v>385168</v>
      </c>
      <c r="F578" s="13">
        <v>385923</v>
      </c>
      <c r="G578" s="13">
        <v>379716</v>
      </c>
      <c r="H578" s="13">
        <v>385536</v>
      </c>
      <c r="I578" s="13">
        <v>695586000000</v>
      </c>
      <c r="J578" s="35" t="str">
        <f>TRIM(data__2[[#This Row],[Month (old)]])</f>
        <v>January</v>
      </c>
      <c r="K578" s="35" t="str">
        <f>TRIM(data__2[[#This Row],[Symbol (old)]])</f>
        <v>SP500</v>
      </c>
      <c r="L578" s="36" t="str">
        <f>LEFT(data__2[[#This Row],[Month (old2)]], 3)</f>
        <v>Jan</v>
      </c>
    </row>
    <row r="579" spans="2:12" x14ac:dyDescent="0.25">
      <c r="B579" s="33">
        <v>44221</v>
      </c>
      <c r="C579" s="34" t="s">
        <v>4</v>
      </c>
      <c r="D579" s="34" t="s">
        <v>5</v>
      </c>
      <c r="E579" s="13">
        <v>3358544</v>
      </c>
      <c r="F579" s="13">
        <v>3488556</v>
      </c>
      <c r="G579" s="13">
        <v>3148138</v>
      </c>
      <c r="H579" s="13">
        <v>3155764</v>
      </c>
      <c r="I579" s="13">
        <v>250278</v>
      </c>
      <c r="J579" s="35" t="str">
        <f>TRIM(data__2[[#This Row],[Month (old)]])</f>
        <v>Jan</v>
      </c>
      <c r="K579" s="35" t="str">
        <f>TRIM(data__2[[#This Row],[Symbol (old)]])</f>
        <v>BTCUSD</v>
      </c>
      <c r="L579" s="36" t="str">
        <f>LEFT(data__2[[#This Row],[Month (old2)]], 3)</f>
        <v>Jan</v>
      </c>
    </row>
    <row r="580" spans="2:12" x14ac:dyDescent="0.25">
      <c r="B580" s="33">
        <v>44220</v>
      </c>
      <c r="C580" s="34" t="s">
        <v>4</v>
      </c>
      <c r="D580" s="34" t="s">
        <v>5</v>
      </c>
      <c r="E580" s="13">
        <v>3250000</v>
      </c>
      <c r="F580" s="13">
        <v>3367218</v>
      </c>
      <c r="G580" s="13">
        <v>3095800</v>
      </c>
      <c r="H580" s="13">
        <v>3358544</v>
      </c>
      <c r="I580" s="13">
        <v>166848</v>
      </c>
      <c r="J580" s="35" t="str">
        <f>TRIM(data__2[[#This Row],[Month (old)]])</f>
        <v>Jan</v>
      </c>
      <c r="K580" s="35" t="str">
        <f>TRIM(data__2[[#This Row],[Symbol (old)]])</f>
        <v>BTCUSD</v>
      </c>
      <c r="L580" s="36" t="str">
        <f>LEFT(data__2[[#This Row],[Month (old2)]], 3)</f>
        <v>Jan</v>
      </c>
    </row>
    <row r="581" spans="2:12" x14ac:dyDescent="0.25">
      <c r="B581" s="33">
        <v>44219</v>
      </c>
      <c r="C581" s="34" t="s">
        <v>4</v>
      </c>
      <c r="D581" s="34" t="s">
        <v>5</v>
      </c>
      <c r="E581" s="13">
        <v>3239363</v>
      </c>
      <c r="F581" s="13">
        <v>3347949</v>
      </c>
      <c r="G581" s="13">
        <v>3144400</v>
      </c>
      <c r="H581" s="13">
        <v>3250000</v>
      </c>
      <c r="I581" s="13">
        <v>94200</v>
      </c>
      <c r="J581" s="35" t="str">
        <f>TRIM(data__2[[#This Row],[Month (old)]])</f>
        <v>Jan</v>
      </c>
      <c r="K581" s="35" t="str">
        <f>TRIM(data__2[[#This Row],[Symbol (old)]])</f>
        <v>BTCUSD</v>
      </c>
      <c r="L581" s="36" t="str">
        <f>LEFT(data__2[[#This Row],[Month (old2)]], 3)</f>
        <v>Jan</v>
      </c>
    </row>
    <row r="582" spans="2:12" x14ac:dyDescent="0.25">
      <c r="B582" s="33">
        <v>44218</v>
      </c>
      <c r="C582" s="34" t="s">
        <v>17</v>
      </c>
      <c r="D582" s="34" t="s">
        <v>18</v>
      </c>
      <c r="E582" s="13">
        <v>384424</v>
      </c>
      <c r="F582" s="13">
        <v>385231</v>
      </c>
      <c r="G582" s="13">
        <v>383041</v>
      </c>
      <c r="H582" s="13">
        <v>384147</v>
      </c>
      <c r="I582" s="13">
        <v>508043000000</v>
      </c>
      <c r="J582" s="35" t="str">
        <f>TRIM(data__2[[#This Row],[Month (old)]])</f>
        <v>January</v>
      </c>
      <c r="K582" s="35" t="str">
        <f>TRIM(data__2[[#This Row],[Symbol (old)]])</f>
        <v>SP500</v>
      </c>
      <c r="L582" s="36" t="str">
        <f>LEFT(data__2[[#This Row],[Month (old2)]], 3)</f>
        <v>Jan</v>
      </c>
    </row>
    <row r="583" spans="2:12" x14ac:dyDescent="0.25">
      <c r="B583" s="33">
        <v>44218</v>
      </c>
      <c r="C583" s="34" t="s">
        <v>4</v>
      </c>
      <c r="D583" s="34" t="s">
        <v>5</v>
      </c>
      <c r="E583" s="13">
        <v>3094332</v>
      </c>
      <c r="F583" s="13">
        <v>3388000</v>
      </c>
      <c r="G583" s="13">
        <v>3047387</v>
      </c>
      <c r="H583" s="13">
        <v>3239363</v>
      </c>
      <c r="I583" s="13">
        <v>286923</v>
      </c>
      <c r="J583" s="35" t="str">
        <f>TRIM(data__2[[#This Row],[Month (old)]])</f>
        <v>Jan</v>
      </c>
      <c r="K583" s="35" t="str">
        <f>TRIM(data__2[[#This Row],[Symbol (old)]])</f>
        <v>BTCUSD</v>
      </c>
      <c r="L583" s="36" t="str">
        <f>LEFT(data__2[[#This Row],[Month (old2)]], 3)</f>
        <v>Jan</v>
      </c>
    </row>
    <row r="584" spans="2:12" x14ac:dyDescent="0.25">
      <c r="B584" s="33">
        <v>44217</v>
      </c>
      <c r="C584" s="34" t="s">
        <v>17</v>
      </c>
      <c r="D584" s="34" t="s">
        <v>18</v>
      </c>
      <c r="E584" s="13">
        <v>385746</v>
      </c>
      <c r="F584" s="13">
        <v>386145</v>
      </c>
      <c r="G584" s="13">
        <v>384505</v>
      </c>
      <c r="H584" s="13">
        <v>385307</v>
      </c>
      <c r="I584" s="13">
        <v>448446000000</v>
      </c>
      <c r="J584" s="35" t="str">
        <f>TRIM(data__2[[#This Row],[Month (old)]])</f>
        <v>January</v>
      </c>
      <c r="K584" s="35" t="str">
        <f>TRIM(data__2[[#This Row],[Symbol (old)]])</f>
        <v>SP500</v>
      </c>
      <c r="L584" s="36" t="str">
        <f>LEFT(data__2[[#This Row],[Month (old2)]], 3)</f>
        <v>Jan</v>
      </c>
    </row>
    <row r="585" spans="2:12" x14ac:dyDescent="0.25">
      <c r="B585" s="33">
        <v>44217</v>
      </c>
      <c r="C585" s="34" t="s">
        <v>4</v>
      </c>
      <c r="D585" s="34" t="s">
        <v>5</v>
      </c>
      <c r="E585" s="13">
        <v>3460374</v>
      </c>
      <c r="F585" s="13">
        <v>3500000</v>
      </c>
      <c r="G585" s="13">
        <v>2880000</v>
      </c>
      <c r="H585" s="13">
        <v>3094332</v>
      </c>
      <c r="I585" s="13">
        <v>729052</v>
      </c>
      <c r="J585" s="35" t="str">
        <f>TRIM(data__2[[#This Row],[Month (old)]])</f>
        <v>Jan</v>
      </c>
      <c r="K585" s="35" t="str">
        <f>TRIM(data__2[[#This Row],[Symbol (old)]])</f>
        <v>BTCUSD</v>
      </c>
      <c r="L585" s="36" t="str">
        <f>LEFT(data__2[[#This Row],[Month (old2)]], 3)</f>
        <v>Jan</v>
      </c>
    </row>
    <row r="586" spans="2:12" x14ac:dyDescent="0.25">
      <c r="B586" s="33">
        <v>44216</v>
      </c>
      <c r="C586" s="34" t="s">
        <v>17</v>
      </c>
      <c r="D586" s="34" t="s">
        <v>18</v>
      </c>
      <c r="E586" s="13">
        <v>381622</v>
      </c>
      <c r="F586" s="13">
        <v>385975</v>
      </c>
      <c r="G586" s="13">
        <v>381622</v>
      </c>
      <c r="H586" s="13">
        <v>385185</v>
      </c>
      <c r="I586" s="13">
        <v>455179000000</v>
      </c>
      <c r="J586" s="35" t="str">
        <f>TRIM(data__2[[#This Row],[Month (old)]])</f>
        <v>January</v>
      </c>
      <c r="K586" s="35" t="str">
        <f>TRIM(data__2[[#This Row],[Symbol (old)]])</f>
        <v>SP500</v>
      </c>
      <c r="L586" s="36" t="str">
        <f>LEFT(data__2[[#This Row],[Month (old2)]], 3)</f>
        <v>Jan</v>
      </c>
    </row>
    <row r="587" spans="2:12" x14ac:dyDescent="0.25">
      <c r="B587" s="33">
        <v>44216</v>
      </c>
      <c r="C587" s="34" t="s">
        <v>4</v>
      </c>
      <c r="D587" s="34" t="s">
        <v>5</v>
      </c>
      <c r="E587" s="13">
        <v>3507553</v>
      </c>
      <c r="F587" s="13">
        <v>3596495</v>
      </c>
      <c r="G587" s="13">
        <v>3340000</v>
      </c>
      <c r="H587" s="13">
        <v>3460374</v>
      </c>
      <c r="I587" s="13">
        <v>290001</v>
      </c>
      <c r="J587" s="35" t="str">
        <f>TRIM(data__2[[#This Row],[Month (old)]])</f>
        <v>Jan</v>
      </c>
      <c r="K587" s="35" t="str">
        <f>TRIM(data__2[[#This Row],[Symbol (old)]])</f>
        <v>BTCUSD</v>
      </c>
      <c r="L587" s="36" t="str">
        <f>LEFT(data__2[[#This Row],[Month (old2)]], 3)</f>
        <v>Jan</v>
      </c>
    </row>
    <row r="588" spans="2:12" x14ac:dyDescent="0.25">
      <c r="B588" s="33">
        <v>44215</v>
      </c>
      <c r="C588" s="34" t="s">
        <v>17</v>
      </c>
      <c r="D588" s="34" t="s">
        <v>18</v>
      </c>
      <c r="E588" s="13">
        <v>378188</v>
      </c>
      <c r="F588" s="13">
        <v>380453</v>
      </c>
      <c r="G588" s="13">
        <v>378037</v>
      </c>
      <c r="H588" s="13">
        <v>379891</v>
      </c>
      <c r="I588" s="13">
        <v>498294000000</v>
      </c>
      <c r="J588" s="35" t="str">
        <f>TRIM(data__2[[#This Row],[Month (old)]])</f>
        <v>January</v>
      </c>
      <c r="K588" s="35" t="str">
        <f>TRIM(data__2[[#This Row],[Symbol (old)]])</f>
        <v>SP500</v>
      </c>
      <c r="L588" s="36" t="str">
        <f>LEFT(data__2[[#This Row],[Month (old2)]], 3)</f>
        <v>Jan</v>
      </c>
    </row>
    <row r="589" spans="2:12" x14ac:dyDescent="0.25">
      <c r="B589" s="33">
        <v>44215</v>
      </c>
      <c r="C589" s="34" t="s">
        <v>4</v>
      </c>
      <c r="D589" s="34" t="s">
        <v>5</v>
      </c>
      <c r="E589" s="13">
        <v>3650942</v>
      </c>
      <c r="F589" s="13">
        <v>3793420</v>
      </c>
      <c r="G589" s="13">
        <v>3500500</v>
      </c>
      <c r="H589" s="13">
        <v>3507553</v>
      </c>
      <c r="I589" s="13">
        <v>272629</v>
      </c>
      <c r="J589" s="35" t="str">
        <f>TRIM(data__2[[#This Row],[Month (old)]])</f>
        <v>Jan</v>
      </c>
      <c r="K589" s="35" t="str">
        <f>TRIM(data__2[[#This Row],[Symbol (old)]])</f>
        <v>BTCUSD</v>
      </c>
      <c r="L589" s="36" t="str">
        <f>LEFT(data__2[[#This Row],[Month (old2)]], 3)</f>
        <v>Jan</v>
      </c>
    </row>
    <row r="590" spans="2:12" x14ac:dyDescent="0.25">
      <c r="B590" s="33">
        <v>44214</v>
      </c>
      <c r="C590" s="34" t="s">
        <v>4</v>
      </c>
      <c r="D590" s="34" t="s">
        <v>5</v>
      </c>
      <c r="E590" s="13">
        <v>3508993</v>
      </c>
      <c r="F590" s="13">
        <v>3746921</v>
      </c>
      <c r="G590" s="13">
        <v>3477800</v>
      </c>
      <c r="H590" s="13">
        <v>3650942</v>
      </c>
      <c r="I590" s="13">
        <v>208384</v>
      </c>
      <c r="J590" s="35" t="str">
        <f>TRIM(data__2[[#This Row],[Month (old)]])</f>
        <v>Jan</v>
      </c>
      <c r="K590" s="35" t="str">
        <f>TRIM(data__2[[#This Row],[Symbol (old)]])</f>
        <v>BTCUSD</v>
      </c>
      <c r="L590" s="36" t="str">
        <f>LEFT(data__2[[#This Row],[Month (old2)]], 3)</f>
        <v>Jan</v>
      </c>
    </row>
    <row r="591" spans="2:12" x14ac:dyDescent="0.25">
      <c r="B591" s="33">
        <v>44213</v>
      </c>
      <c r="C591" s="34" t="s">
        <v>4</v>
      </c>
      <c r="D591" s="34" t="s">
        <v>5</v>
      </c>
      <c r="E591" s="13">
        <v>3621522</v>
      </c>
      <c r="F591" s="13">
        <v>3684011</v>
      </c>
      <c r="G591" s="13">
        <v>3386896</v>
      </c>
      <c r="H591" s="13">
        <v>3508993</v>
      </c>
      <c r="I591" s="13">
        <v>175994</v>
      </c>
      <c r="J591" s="35" t="str">
        <f>TRIM(data__2[[#This Row],[Month (old)]])</f>
        <v>Jan</v>
      </c>
      <c r="K591" s="35" t="str">
        <f>TRIM(data__2[[#This Row],[Symbol (old)]])</f>
        <v>BTCUSD</v>
      </c>
      <c r="L591" s="36" t="str">
        <f>LEFT(data__2[[#This Row],[Month (old2)]], 3)</f>
        <v>Jan</v>
      </c>
    </row>
    <row r="592" spans="2:12" x14ac:dyDescent="0.25">
      <c r="B592" s="33">
        <v>44212</v>
      </c>
      <c r="C592" s="34" t="s">
        <v>4</v>
      </c>
      <c r="D592" s="34" t="s">
        <v>5</v>
      </c>
      <c r="E592" s="13">
        <v>3654931</v>
      </c>
      <c r="F592" s="13">
        <v>3794971</v>
      </c>
      <c r="G592" s="13">
        <v>3540001</v>
      </c>
      <c r="H592" s="13">
        <v>3621522</v>
      </c>
      <c r="I592" s="13">
        <v>185553</v>
      </c>
      <c r="J592" s="35" t="str">
        <f>TRIM(data__2[[#This Row],[Month (old)]])</f>
        <v>Jan</v>
      </c>
      <c r="K592" s="35" t="str">
        <f>TRIM(data__2[[#This Row],[Symbol (old)]])</f>
        <v>BTCUSD</v>
      </c>
      <c r="L592" s="36" t="str">
        <f>LEFT(data__2[[#This Row],[Month (old2)]], 3)</f>
        <v>Jan</v>
      </c>
    </row>
    <row r="593" spans="2:12" x14ac:dyDescent="0.25">
      <c r="B593" s="33">
        <v>44211</v>
      </c>
      <c r="C593" s="34" t="s">
        <v>17</v>
      </c>
      <c r="D593" s="34" t="s">
        <v>18</v>
      </c>
      <c r="E593" s="13">
        <v>378873</v>
      </c>
      <c r="F593" s="13">
        <v>378873</v>
      </c>
      <c r="G593" s="13">
        <v>374962</v>
      </c>
      <c r="H593" s="13">
        <v>376825</v>
      </c>
      <c r="I593" s="13">
        <v>535306000000</v>
      </c>
      <c r="J593" s="35" t="str">
        <f>TRIM(data__2[[#This Row],[Month (old)]])</f>
        <v>January</v>
      </c>
      <c r="K593" s="35" t="str">
        <f>TRIM(data__2[[#This Row],[Symbol (old)]])</f>
        <v>SP500</v>
      </c>
      <c r="L593" s="36" t="str">
        <f>LEFT(data__2[[#This Row],[Month (old2)]], 3)</f>
        <v>Jan</v>
      </c>
    </row>
    <row r="594" spans="2:12" x14ac:dyDescent="0.25">
      <c r="B594" s="33">
        <v>44211</v>
      </c>
      <c r="C594" s="34" t="s">
        <v>4</v>
      </c>
      <c r="D594" s="34" t="s">
        <v>5</v>
      </c>
      <c r="E594" s="13">
        <v>3870652</v>
      </c>
      <c r="F594" s="13">
        <v>3884996</v>
      </c>
      <c r="G594" s="13">
        <v>3435363</v>
      </c>
      <c r="H594" s="13">
        <v>3654931</v>
      </c>
      <c r="I594" s="13">
        <v>450399</v>
      </c>
      <c r="J594" s="35" t="str">
        <f>TRIM(data__2[[#This Row],[Month (old)]])</f>
        <v>Jan</v>
      </c>
      <c r="K594" s="35" t="str">
        <f>TRIM(data__2[[#This Row],[Symbol (old)]])</f>
        <v>BTCUSD</v>
      </c>
      <c r="L594" s="36" t="str">
        <f>LEFT(data__2[[#This Row],[Month (old2)]], 3)</f>
        <v>Jan</v>
      </c>
    </row>
    <row r="595" spans="2:12" x14ac:dyDescent="0.25">
      <c r="B595" s="33">
        <v>44210</v>
      </c>
      <c r="C595" s="34" t="s">
        <v>17</v>
      </c>
      <c r="D595" s="34" t="s">
        <v>18</v>
      </c>
      <c r="E595" s="13">
        <v>381498</v>
      </c>
      <c r="F595" s="13">
        <v>382360</v>
      </c>
      <c r="G595" s="13">
        <v>379286</v>
      </c>
      <c r="H595" s="13">
        <v>379554</v>
      </c>
      <c r="I595" s="13">
        <v>518014000000</v>
      </c>
      <c r="J595" s="35" t="str">
        <f>TRIM(data__2[[#This Row],[Month (old)]])</f>
        <v>January</v>
      </c>
      <c r="K595" s="35" t="str">
        <f>TRIM(data__2[[#This Row],[Symbol (old)]])</f>
        <v>SP500</v>
      </c>
      <c r="L595" s="36" t="str">
        <f>LEFT(data__2[[#This Row],[Month (old2)]], 3)</f>
        <v>Jan</v>
      </c>
    </row>
    <row r="596" spans="2:12" x14ac:dyDescent="0.25">
      <c r="B596" s="33">
        <v>44210</v>
      </c>
      <c r="C596" s="34" t="s">
        <v>4</v>
      </c>
      <c r="D596" s="34" t="s">
        <v>5</v>
      </c>
      <c r="E596" s="13">
        <v>3704070</v>
      </c>
      <c r="F596" s="13">
        <v>4011279</v>
      </c>
      <c r="G596" s="13">
        <v>3675140</v>
      </c>
      <c r="H596" s="13">
        <v>3870652</v>
      </c>
      <c r="I596" s="13">
        <v>268651</v>
      </c>
      <c r="J596" s="35" t="str">
        <f>TRIM(data__2[[#This Row],[Month (old)]])</f>
        <v>Jan</v>
      </c>
      <c r="K596" s="35" t="str">
        <f>TRIM(data__2[[#This Row],[Symbol (old)]])</f>
        <v>BTCUSD</v>
      </c>
      <c r="L596" s="36" t="str">
        <f>LEFT(data__2[[#This Row],[Month (old2)]], 3)</f>
        <v>Jan</v>
      </c>
    </row>
    <row r="597" spans="2:12" x14ac:dyDescent="0.25">
      <c r="B597" s="33">
        <v>44209</v>
      </c>
      <c r="C597" s="34" t="s">
        <v>17</v>
      </c>
      <c r="D597" s="34" t="s">
        <v>18</v>
      </c>
      <c r="E597" s="13">
        <v>380223</v>
      </c>
      <c r="F597" s="13">
        <v>382096</v>
      </c>
      <c r="G597" s="13">
        <v>379150</v>
      </c>
      <c r="H597" s="13">
        <v>380984</v>
      </c>
      <c r="I597" s="13">
        <v>459042000000</v>
      </c>
      <c r="J597" s="35" t="str">
        <f>TRIM(data__2[[#This Row],[Month (old)]])</f>
        <v>January</v>
      </c>
      <c r="K597" s="35" t="str">
        <f>TRIM(data__2[[#This Row],[Symbol (old)]])</f>
        <v>SP500</v>
      </c>
      <c r="L597" s="36" t="str">
        <f>LEFT(data__2[[#This Row],[Month (old2)]], 3)</f>
        <v>Jan</v>
      </c>
    </row>
    <row r="598" spans="2:12" x14ac:dyDescent="0.25">
      <c r="B598" s="33">
        <v>44209</v>
      </c>
      <c r="C598" s="34" t="s">
        <v>4</v>
      </c>
      <c r="D598" s="34" t="s">
        <v>5</v>
      </c>
      <c r="E598" s="13">
        <v>3380423</v>
      </c>
      <c r="F598" s="13">
        <v>3818833</v>
      </c>
      <c r="G598" s="13">
        <v>3280000</v>
      </c>
      <c r="H598" s="13">
        <v>3704070</v>
      </c>
      <c r="I598" s="13">
        <v>404991</v>
      </c>
      <c r="J598" s="35" t="str">
        <f>TRIM(data__2[[#This Row],[Month (old)]])</f>
        <v>Jan</v>
      </c>
      <c r="K598" s="35" t="str">
        <f>TRIM(data__2[[#This Row],[Symbol (old)]])</f>
        <v>BTCUSD</v>
      </c>
      <c r="L598" s="36" t="str">
        <f>LEFT(data__2[[#This Row],[Month (old2)]], 3)</f>
        <v>Jan</v>
      </c>
    </row>
    <row r="599" spans="2:12" x14ac:dyDescent="0.25">
      <c r="B599" s="33">
        <v>44208</v>
      </c>
      <c r="C599" s="34" t="s">
        <v>17</v>
      </c>
      <c r="D599" s="34" t="s">
        <v>18</v>
      </c>
      <c r="E599" s="13">
        <v>380162</v>
      </c>
      <c r="F599" s="13">
        <v>381078</v>
      </c>
      <c r="G599" s="13">
        <v>377651</v>
      </c>
      <c r="H599" s="13">
        <v>380119</v>
      </c>
      <c r="I599" s="13">
        <v>497721000000</v>
      </c>
      <c r="J599" s="35" t="str">
        <f>TRIM(data__2[[#This Row],[Month (old)]])</f>
        <v>January</v>
      </c>
      <c r="K599" s="35" t="str">
        <f>TRIM(data__2[[#This Row],[Symbol (old)]])</f>
        <v>SP500</v>
      </c>
      <c r="L599" s="36" t="str">
        <f>LEFT(data__2[[#This Row],[Month (old2)]], 3)</f>
        <v>Jan</v>
      </c>
    </row>
    <row r="600" spans="2:12" x14ac:dyDescent="0.25">
      <c r="B600" s="33">
        <v>44208</v>
      </c>
      <c r="C600" s="34" t="s">
        <v>4</v>
      </c>
      <c r="D600" s="34" t="s">
        <v>5</v>
      </c>
      <c r="E600" s="13">
        <v>3500000</v>
      </c>
      <c r="F600" s="13">
        <v>3665134</v>
      </c>
      <c r="G600" s="13">
        <v>3217829</v>
      </c>
      <c r="H600" s="13">
        <v>3380423</v>
      </c>
      <c r="I600" s="13">
        <v>524577</v>
      </c>
      <c r="J600" s="35" t="str">
        <f>TRIM(data__2[[#This Row],[Month (old)]])</f>
        <v>Jan</v>
      </c>
      <c r="K600" s="35" t="str">
        <f>TRIM(data__2[[#This Row],[Symbol (old)]])</f>
        <v>BTCUSD</v>
      </c>
      <c r="L600" s="36" t="str">
        <f>LEFT(data__2[[#This Row],[Month (old2)]], 3)</f>
        <v>Jan</v>
      </c>
    </row>
    <row r="601" spans="2:12" x14ac:dyDescent="0.25">
      <c r="B601" s="33">
        <v>44207</v>
      </c>
      <c r="C601" s="34" t="s">
        <v>17</v>
      </c>
      <c r="D601" s="34" t="s">
        <v>18</v>
      </c>
      <c r="E601" s="13">
        <v>380314</v>
      </c>
      <c r="F601" s="13">
        <v>381786</v>
      </c>
      <c r="G601" s="13">
        <v>378902</v>
      </c>
      <c r="H601" s="13">
        <v>379961</v>
      </c>
      <c r="I601" s="13">
        <v>445050000000</v>
      </c>
      <c r="J601" s="35" t="str">
        <f>TRIM(data__2[[#This Row],[Month (old)]])</f>
        <v>January</v>
      </c>
      <c r="K601" s="35" t="str">
        <f>TRIM(data__2[[#This Row],[Symbol (old)]])</f>
        <v>SP500</v>
      </c>
      <c r="L601" s="36" t="str">
        <f>LEFT(data__2[[#This Row],[Month (old2)]], 3)</f>
        <v>Jan</v>
      </c>
    </row>
    <row r="602" spans="2:12" x14ac:dyDescent="0.25">
      <c r="B602" s="33">
        <v>44207</v>
      </c>
      <c r="C602" s="34" t="s">
        <v>4</v>
      </c>
      <c r="D602" s="34" t="s">
        <v>5</v>
      </c>
      <c r="E602" s="13">
        <v>3543513</v>
      </c>
      <c r="F602" s="13">
        <v>3632325</v>
      </c>
      <c r="G602" s="13">
        <v>3025000</v>
      </c>
      <c r="H602" s="13">
        <v>3500000</v>
      </c>
      <c r="I602" s="13">
        <v>1255601</v>
      </c>
      <c r="J602" s="35" t="str">
        <f>TRIM(data__2[[#This Row],[Month (old)]])</f>
        <v>Jan</v>
      </c>
      <c r="K602" s="35" t="str">
        <f>TRIM(data__2[[#This Row],[Symbol (old)]])</f>
        <v>BTCUSD</v>
      </c>
      <c r="L602" s="36" t="str">
        <f>LEFT(data__2[[#This Row],[Month (old2)]], 3)</f>
        <v>Jan</v>
      </c>
    </row>
    <row r="603" spans="2:12" x14ac:dyDescent="0.25">
      <c r="B603" s="33">
        <v>44206</v>
      </c>
      <c r="C603" s="34" t="s">
        <v>4</v>
      </c>
      <c r="D603" s="34" t="s">
        <v>5</v>
      </c>
      <c r="E603" s="13">
        <v>4049050</v>
      </c>
      <c r="F603" s="13">
        <v>4119662</v>
      </c>
      <c r="G603" s="13">
        <v>3310000</v>
      </c>
      <c r="H603" s="13">
        <v>3543513</v>
      </c>
      <c r="I603" s="13">
        <v>591367</v>
      </c>
      <c r="J603" s="35" t="str">
        <f>TRIM(data__2[[#This Row],[Month (old)]])</f>
        <v>Jan</v>
      </c>
      <c r="K603" s="35" t="str">
        <f>TRIM(data__2[[#This Row],[Symbol (old)]])</f>
        <v>BTCUSD</v>
      </c>
      <c r="L603" s="36" t="str">
        <f>LEFT(data__2[[#This Row],[Month (old2)]], 3)</f>
        <v>Jan</v>
      </c>
    </row>
    <row r="604" spans="2:12" x14ac:dyDescent="0.25">
      <c r="B604" s="33">
        <v>44205</v>
      </c>
      <c r="C604" s="34" t="s">
        <v>4</v>
      </c>
      <c r="D604" s="34" t="s">
        <v>5</v>
      </c>
      <c r="E604" s="13">
        <v>4027903</v>
      </c>
      <c r="F604" s="13">
        <v>4147021</v>
      </c>
      <c r="G604" s="13">
        <v>3876882</v>
      </c>
      <c r="H604" s="13">
        <v>4049050</v>
      </c>
      <c r="I604" s="13">
        <v>267895</v>
      </c>
      <c r="J604" s="35" t="str">
        <f>TRIM(data__2[[#This Row],[Month (old)]])</f>
        <v>Jan</v>
      </c>
      <c r="K604" s="35" t="str">
        <f>TRIM(data__2[[#This Row],[Symbol (old)]])</f>
        <v>BTCUSD</v>
      </c>
      <c r="L604" s="36" t="str">
        <f>LEFT(data__2[[#This Row],[Month (old2)]], 3)</f>
        <v>Jan</v>
      </c>
    </row>
    <row r="605" spans="2:12" x14ac:dyDescent="0.25">
      <c r="B605" s="33">
        <v>44204</v>
      </c>
      <c r="C605" s="34" t="s">
        <v>17</v>
      </c>
      <c r="D605" s="34" t="s">
        <v>18</v>
      </c>
      <c r="E605" s="13">
        <v>381505</v>
      </c>
      <c r="F605" s="13">
        <v>382669</v>
      </c>
      <c r="G605" s="13">
        <v>378360</v>
      </c>
      <c r="H605" s="13">
        <v>382468</v>
      </c>
      <c r="I605" s="13">
        <v>476418000000</v>
      </c>
      <c r="J605" s="35" t="str">
        <f>TRIM(data__2[[#This Row],[Month (old)]])</f>
        <v>January</v>
      </c>
      <c r="K605" s="35" t="str">
        <f>TRIM(data__2[[#This Row],[Symbol (old)]])</f>
        <v>SP500</v>
      </c>
      <c r="L605" s="36" t="str">
        <f>LEFT(data__2[[#This Row],[Month (old2)]], 3)</f>
        <v>Jan</v>
      </c>
    </row>
    <row r="606" spans="2:12" x14ac:dyDescent="0.25">
      <c r="B606" s="33">
        <v>44204</v>
      </c>
      <c r="C606" s="34" t="s">
        <v>4</v>
      </c>
      <c r="D606" s="34" t="s">
        <v>5</v>
      </c>
      <c r="E606" s="13">
        <v>3847478</v>
      </c>
      <c r="F606" s="13">
        <v>4199999</v>
      </c>
      <c r="G606" s="13">
        <v>3757479</v>
      </c>
      <c r="H606" s="13">
        <v>4027903</v>
      </c>
      <c r="I606" s="13">
        <v>566185</v>
      </c>
      <c r="J606" s="35" t="str">
        <f>TRIM(data__2[[#This Row],[Month (old)]])</f>
        <v>Jan</v>
      </c>
      <c r="K606" s="35" t="str">
        <f>TRIM(data__2[[#This Row],[Symbol (old)]])</f>
        <v>BTCUSD</v>
      </c>
      <c r="L606" s="36" t="str">
        <f>LEFT(data__2[[#This Row],[Month (old2)]], 3)</f>
        <v>Jan</v>
      </c>
    </row>
    <row r="607" spans="2:12" x14ac:dyDescent="0.25">
      <c r="B607" s="33">
        <v>44203</v>
      </c>
      <c r="C607" s="34" t="s">
        <v>17</v>
      </c>
      <c r="D607" s="34" t="s">
        <v>18</v>
      </c>
      <c r="E607" s="13">
        <v>376471</v>
      </c>
      <c r="F607" s="13">
        <v>381155</v>
      </c>
      <c r="G607" s="13">
        <v>376471</v>
      </c>
      <c r="H607" s="13">
        <v>380379</v>
      </c>
      <c r="I607" s="13">
        <v>508087000000</v>
      </c>
      <c r="J607" s="35" t="str">
        <f>TRIM(data__2[[#This Row],[Month (old)]])</f>
        <v>January</v>
      </c>
      <c r="K607" s="35" t="str">
        <f>TRIM(data__2[[#This Row],[Symbol (old)]])</f>
        <v>SP500</v>
      </c>
      <c r="L607" s="36" t="str">
        <f>LEFT(data__2[[#This Row],[Month (old2)]], 3)</f>
        <v>Jan</v>
      </c>
    </row>
    <row r="608" spans="2:12" x14ac:dyDescent="0.25">
      <c r="B608" s="33">
        <v>44203</v>
      </c>
      <c r="C608" s="34" t="s">
        <v>4</v>
      </c>
      <c r="D608" s="34" t="s">
        <v>5</v>
      </c>
      <c r="E608" s="13">
        <v>3761311</v>
      </c>
      <c r="F608" s="13">
        <v>4039600</v>
      </c>
      <c r="G608" s="13">
        <v>3612905</v>
      </c>
      <c r="H608" s="13">
        <v>3847478</v>
      </c>
      <c r="I608" s="13">
        <v>574352</v>
      </c>
      <c r="J608" s="35" t="str">
        <f>TRIM(data__2[[#This Row],[Month (old)]])</f>
        <v>Jan</v>
      </c>
      <c r="K608" s="35" t="str">
        <f>TRIM(data__2[[#This Row],[Symbol (old)]])</f>
        <v>BTCUSD</v>
      </c>
      <c r="L608" s="36" t="str">
        <f>LEFT(data__2[[#This Row],[Month (old2)]], 3)</f>
        <v>Jan</v>
      </c>
    </row>
    <row r="609" spans="2:12" x14ac:dyDescent="0.25">
      <c r="B609" s="33">
        <v>44202</v>
      </c>
      <c r="C609" s="34" t="s">
        <v>17</v>
      </c>
      <c r="D609" s="34" t="s">
        <v>18</v>
      </c>
      <c r="E609" s="13">
        <v>371220</v>
      </c>
      <c r="F609" s="13">
        <v>378304</v>
      </c>
      <c r="G609" s="13">
        <v>370534</v>
      </c>
      <c r="H609" s="13">
        <v>374814</v>
      </c>
      <c r="I609" s="13">
        <v>604997000000</v>
      </c>
      <c r="J609" s="35" t="str">
        <f>TRIM(data__2[[#This Row],[Month (old)]])</f>
        <v>January</v>
      </c>
      <c r="K609" s="35" t="str">
        <f>TRIM(data__2[[#This Row],[Symbol (old)]])</f>
        <v>SP500</v>
      </c>
      <c r="L609" s="36" t="str">
        <f>LEFT(data__2[[#This Row],[Month (old2)]], 3)</f>
        <v>Jan</v>
      </c>
    </row>
    <row r="610" spans="2:12" x14ac:dyDescent="0.25">
      <c r="B610" s="33">
        <v>44202</v>
      </c>
      <c r="C610" s="34" t="s">
        <v>4</v>
      </c>
      <c r="D610" s="34" t="s">
        <v>5</v>
      </c>
      <c r="E610" s="13">
        <v>3422819</v>
      </c>
      <c r="F610" s="13">
        <v>3782448</v>
      </c>
      <c r="G610" s="13">
        <v>3368582</v>
      </c>
      <c r="H610" s="13">
        <v>3761311</v>
      </c>
      <c r="I610" s="13">
        <v>492500</v>
      </c>
      <c r="J610" s="35" t="str">
        <f>TRIM(data__2[[#This Row],[Month (old)]])</f>
        <v>Jan</v>
      </c>
      <c r="K610" s="35" t="str">
        <f>TRIM(data__2[[#This Row],[Symbol (old)]])</f>
        <v>BTCUSD</v>
      </c>
      <c r="L610" s="36" t="str">
        <f>LEFT(data__2[[#This Row],[Month (old2)]], 3)</f>
        <v>Jan</v>
      </c>
    </row>
    <row r="611" spans="2:12" x14ac:dyDescent="0.25">
      <c r="B611" s="33">
        <v>44201</v>
      </c>
      <c r="C611" s="34" t="s">
        <v>17</v>
      </c>
      <c r="D611" s="34" t="s">
        <v>18</v>
      </c>
      <c r="E611" s="13">
        <v>369802</v>
      </c>
      <c r="F611" s="13">
        <v>373783</v>
      </c>
      <c r="G611" s="13">
        <v>369507</v>
      </c>
      <c r="H611" s="13">
        <v>372686</v>
      </c>
      <c r="I611" s="13">
        <v>458262000000</v>
      </c>
      <c r="J611" s="35" t="str">
        <f>TRIM(data__2[[#This Row],[Month (old)]])</f>
        <v>January</v>
      </c>
      <c r="K611" s="35" t="str">
        <f>TRIM(data__2[[#This Row],[Symbol (old)]])</f>
        <v>SP500</v>
      </c>
      <c r="L611" s="36" t="str">
        <f>LEFT(data__2[[#This Row],[Month (old2)]], 3)</f>
        <v>Jan</v>
      </c>
    </row>
    <row r="612" spans="2:12" x14ac:dyDescent="0.25">
      <c r="B612" s="33">
        <v>44201</v>
      </c>
      <c r="C612" s="34" t="s">
        <v>4</v>
      </c>
      <c r="D612" s="34" t="s">
        <v>5</v>
      </c>
      <c r="E612" s="13">
        <v>3120346</v>
      </c>
      <c r="F612" s="13">
        <v>3453629</v>
      </c>
      <c r="G612" s="13">
        <v>2991450</v>
      </c>
      <c r="H612" s="13">
        <v>3422819</v>
      </c>
      <c r="I612" s="13">
        <v>305656</v>
      </c>
      <c r="J612" s="35" t="str">
        <f>TRIM(data__2[[#This Row],[Month (old)]])</f>
        <v>Jan</v>
      </c>
      <c r="K612" s="35" t="str">
        <f>TRIM(data__2[[#This Row],[Symbol (old)]])</f>
        <v>BTCUSD</v>
      </c>
      <c r="L612" s="36" t="str">
        <f>LEFT(data__2[[#This Row],[Month (old2)]], 3)</f>
        <v>Jan</v>
      </c>
    </row>
    <row r="613" spans="2:12" x14ac:dyDescent="0.25">
      <c r="B613" s="33">
        <v>44200</v>
      </c>
      <c r="C613" s="34" t="s">
        <v>17</v>
      </c>
      <c r="D613" s="34" t="s">
        <v>18</v>
      </c>
      <c r="E613" s="13">
        <v>376461</v>
      </c>
      <c r="F613" s="13">
        <v>376999</v>
      </c>
      <c r="G613" s="13">
        <v>366271</v>
      </c>
      <c r="H613" s="13">
        <v>370065</v>
      </c>
      <c r="I613" s="13">
        <v>500668000000</v>
      </c>
      <c r="J613" s="35" t="str">
        <f>TRIM(data__2[[#This Row],[Month (old)]])</f>
        <v>January</v>
      </c>
      <c r="K613" s="35" t="str">
        <f>TRIM(data__2[[#This Row],[Symbol (old)]])</f>
        <v>SP500</v>
      </c>
      <c r="L613" s="36" t="str">
        <f>LEFT(data__2[[#This Row],[Month (old2)]], 3)</f>
        <v>Jan</v>
      </c>
    </row>
    <row r="614" spans="2:12" x14ac:dyDescent="0.25">
      <c r="B614" s="33">
        <v>44200</v>
      </c>
      <c r="C614" s="34" t="s">
        <v>4</v>
      </c>
      <c r="D614" s="34" t="s">
        <v>5</v>
      </c>
      <c r="E614" s="13">
        <v>3361730</v>
      </c>
      <c r="F614" s="13">
        <v>3366900</v>
      </c>
      <c r="G614" s="13">
        <v>2763234</v>
      </c>
      <c r="H614" s="13">
        <v>3120346</v>
      </c>
      <c r="I614" s="13">
        <v>460392</v>
      </c>
      <c r="J614" s="35" t="str">
        <f>TRIM(data__2[[#This Row],[Month (old)]])</f>
        <v>Jan</v>
      </c>
      <c r="K614" s="35" t="str">
        <f>TRIM(data__2[[#This Row],[Symbol (old)]])</f>
        <v>BTCUSD</v>
      </c>
      <c r="L614" s="36" t="str">
        <f>LEFT(data__2[[#This Row],[Month (old2)]], 3)</f>
        <v>Jan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71C99-636C-4E7E-90AA-4791636B0ACF}">
  <dimension ref="B2:J4"/>
  <sheetViews>
    <sheetView workbookViewId="0">
      <selection activeCell="B3" sqref="B3:J4"/>
    </sheetView>
  </sheetViews>
  <sheetFormatPr defaultRowHeight="15.75" x14ac:dyDescent="0.25"/>
  <cols>
    <col min="2" max="2" width="10.125" bestFit="1" customWidth="1"/>
    <col min="3" max="3" width="17.75" bestFit="1" customWidth="1"/>
    <col min="4" max="4" width="17" bestFit="1" customWidth="1"/>
    <col min="5" max="5" width="16.625" bestFit="1" customWidth="1"/>
    <col min="6" max="6" width="17.5" bestFit="1" customWidth="1"/>
    <col min="7" max="7" width="9.375" bestFit="1" customWidth="1"/>
    <col min="8" max="8" width="9.25" bestFit="1" customWidth="1"/>
    <col min="9" max="9" width="8.75" bestFit="1" customWidth="1"/>
    <col min="10" max="10" width="88.75" bestFit="1" customWidth="1"/>
  </cols>
  <sheetData>
    <row r="2" spans="2:10" x14ac:dyDescent="0.25">
      <c r="B2" s="25" t="s">
        <v>0</v>
      </c>
      <c r="C2" s="26" t="s">
        <v>413</v>
      </c>
      <c r="D2" s="26" t="s">
        <v>410</v>
      </c>
      <c r="E2" s="26" t="s">
        <v>411</v>
      </c>
      <c r="F2" s="26" t="s">
        <v>412</v>
      </c>
      <c r="G2" s="26" t="s">
        <v>3</v>
      </c>
      <c r="H2" s="27" t="s">
        <v>2</v>
      </c>
      <c r="I2" s="28" t="s">
        <v>1</v>
      </c>
      <c r="J2" s="17" t="s">
        <v>45</v>
      </c>
    </row>
    <row r="3" spans="2:10" x14ac:dyDescent="0.25">
      <c r="B3" s="21">
        <v>44256</v>
      </c>
      <c r="C3" s="29">
        <v>4640805</v>
      </c>
      <c r="D3" s="29"/>
      <c r="E3" s="29">
        <v>4570001</v>
      </c>
      <c r="F3" s="29">
        <v>4902376</v>
      </c>
      <c r="G3" s="29">
        <v>307922</v>
      </c>
      <c r="H3" s="30" t="s">
        <v>5</v>
      </c>
      <c r="I3" s="30" t="s">
        <v>7</v>
      </c>
      <c r="J3" s="41" t="s">
        <v>32</v>
      </c>
    </row>
    <row r="4" spans="2:10" x14ac:dyDescent="0.25">
      <c r="B4" s="22">
        <v>44317</v>
      </c>
      <c r="C4" s="31">
        <v>5827225</v>
      </c>
      <c r="D4" s="31">
        <v>30000000</v>
      </c>
      <c r="E4" s="31">
        <v>5640862</v>
      </c>
      <c r="F4" s="31">
        <v>5654740</v>
      </c>
      <c r="G4" s="31">
        <v>53894</v>
      </c>
      <c r="H4" s="32" t="s">
        <v>5</v>
      </c>
      <c r="I4" s="32" t="s">
        <v>9</v>
      </c>
      <c r="J4" s="42" t="s">
        <v>33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92638-C78D-3A43-B680-D7CCC5A60E03}">
  <dimension ref="B2:I4"/>
  <sheetViews>
    <sheetView workbookViewId="0">
      <selection activeCell="I4" sqref="B3:I4"/>
    </sheetView>
  </sheetViews>
  <sheetFormatPr defaultColWidth="11" defaultRowHeight="15.75" x14ac:dyDescent="0.25"/>
  <cols>
    <col min="1" max="1" width="9" customWidth="1"/>
    <col min="7" max="7" width="11.375" bestFit="1" customWidth="1"/>
    <col min="10" max="131" width="9" customWidth="1"/>
  </cols>
  <sheetData>
    <row r="2" spans="2:9" x14ac:dyDescent="0.25">
      <c r="B2" t="s">
        <v>2</v>
      </c>
      <c r="C2" s="3" t="s">
        <v>39</v>
      </c>
      <c r="D2" s="3" t="s">
        <v>40</v>
      </c>
      <c r="E2" t="s">
        <v>414</v>
      </c>
      <c r="F2" t="s">
        <v>415</v>
      </c>
      <c r="G2" t="s">
        <v>34</v>
      </c>
      <c r="H2" t="s">
        <v>35</v>
      </c>
      <c r="I2" s="4" t="s">
        <v>36</v>
      </c>
    </row>
    <row r="3" spans="2:9" x14ac:dyDescent="0.25">
      <c r="B3" s="37" t="s">
        <v>5</v>
      </c>
      <c r="C3" s="38">
        <f>MIN(Data!B:B)</f>
        <v>44200</v>
      </c>
      <c r="D3" s="38">
        <f>MAX(Data!B:B)</f>
        <v>44561</v>
      </c>
      <c r="E3" s="39" cm="1">
        <f t="array" ref="E3">INDEX(Data!E:E, MATCH(1, (Table2[[#This Row],[First open date]]=Data!B:B)*(Table2[[#This Row],[Symbol]]=Data!K:K), 0))</f>
        <v>3361730</v>
      </c>
      <c r="F3" s="39" cm="1">
        <f t="array" ref="F3">INDEX(Data!H:H, MATCH(1, (Table2[[#This Row],[Last close date]]=Data!B:B)*(Table2[[#This Row],[Symbol]]=Data!K:K), 0))</f>
        <v>4680683</v>
      </c>
      <c r="G3" s="40">
        <f>100%</f>
        <v>1</v>
      </c>
      <c r="H3" s="40">
        <f>Table2[[#This Row],[Last close (US$)]]/Table2[[#This Row],[First open (US$)]]</f>
        <v>1.3923435255062127</v>
      </c>
      <c r="I3" s="6">
        <f>Table2[[#This Row],[Last close]]-Table2[[#This Row],[First open]]</f>
        <v>0.39234352550621265</v>
      </c>
    </row>
    <row r="4" spans="2:9" x14ac:dyDescent="0.25">
      <c r="B4" s="37" t="s">
        <v>18</v>
      </c>
      <c r="C4" s="38">
        <f>MIN(Data!B:B)</f>
        <v>44200</v>
      </c>
      <c r="D4" s="38">
        <f>MAX(Data!B:B)</f>
        <v>44561</v>
      </c>
      <c r="E4" s="39" cm="1">
        <f t="array" ref="E4">INDEX(Data!E:E, MATCH(1, (Table2[[#This Row],[First open date]]=Data!B:B)*(Table2[[#This Row],[Symbol]]=Data!K:K), 0))</f>
        <v>376461</v>
      </c>
      <c r="F4" s="39" cm="1">
        <f t="array" ref="F4">INDEX(Data!H:H, MATCH(1, (Table2[[#This Row],[Last close date]]=Data!B:B)*(Table2[[#This Row],[Symbol]]=Data!K:K), 0))</f>
        <v>476618</v>
      </c>
      <c r="G4" s="40">
        <f>100%</f>
        <v>1</v>
      </c>
      <c r="H4" s="40">
        <f>Table2[[#This Row],[Last close (US$)]]/Table2[[#This Row],[First open (US$)]]</f>
        <v>1.2660488071805578</v>
      </c>
      <c r="I4" s="6">
        <f>Table2[[#This Row],[Last close]]-Table2[[#This Row],[First open]]</f>
        <v>0.26604880718055779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7D309-C4CB-484A-9FDF-A0579ABA1636}">
  <dimension ref="B2:F7"/>
  <sheetViews>
    <sheetView workbookViewId="0">
      <selection activeCell="C33" sqref="C33"/>
    </sheetView>
  </sheetViews>
  <sheetFormatPr defaultRowHeight="15.75" x14ac:dyDescent="0.25"/>
  <cols>
    <col min="2" max="2" width="9.25" bestFit="1" customWidth="1"/>
    <col min="3" max="3" width="19.375" bestFit="1" customWidth="1"/>
    <col min="4" max="4" width="18.125" bestFit="1" customWidth="1"/>
    <col min="5" max="5" width="13.625" style="5" bestFit="1" customWidth="1"/>
    <col min="6" max="6" width="13.25" bestFit="1" customWidth="1"/>
  </cols>
  <sheetData>
    <row r="2" spans="2:6" x14ac:dyDescent="0.25">
      <c r="B2" s="19" t="s">
        <v>2</v>
      </c>
      <c r="C2" s="19" t="s">
        <v>416</v>
      </c>
      <c r="D2" s="19" t="s">
        <v>417</v>
      </c>
      <c r="E2" s="20" t="s">
        <v>38</v>
      </c>
      <c r="F2" s="20" t="s">
        <v>37</v>
      </c>
    </row>
    <row r="3" spans="2:6" x14ac:dyDescent="0.25">
      <c r="B3" s="37" t="s">
        <v>5</v>
      </c>
      <c r="C3" s="13" cm="1">
        <f t="array" ref="C3">MIN(IF(Data!K:K=Table3[[#This Row],[Symbol]],Data!G:G))</f>
        <v>2763234</v>
      </c>
      <c r="D3" s="13" cm="1">
        <f t="array" ref="D3">MAX(IF(Data!K:K=Table3[[#This Row],[Symbol]],Data!F:F))</f>
        <v>6900000</v>
      </c>
      <c r="E3" s="43">
        <f>Table3[[#This Row],[Smallest low (US$)]]/Table3[[#This Row],[Largest high (US$)]]</f>
        <v>0.40046869565217391</v>
      </c>
      <c r="F3" s="44">
        <f>100%</f>
        <v>1</v>
      </c>
    </row>
    <row r="4" spans="2:6" x14ac:dyDescent="0.25">
      <c r="B4" s="37" t="s">
        <v>18</v>
      </c>
      <c r="C4" s="13" cm="1">
        <f t="array" ref="C4">MIN(IF(Data!K:K=Table3[[#This Row],[Symbol]],Data!G:G))</f>
        <v>366271</v>
      </c>
      <c r="D4" s="13" cm="1">
        <f t="array" ref="D4">MAX(IF(Data!K:K=Table3[[#This Row],[Symbol]],Data!F:F))</f>
        <v>480893</v>
      </c>
      <c r="E4" s="43">
        <f>Table3[[#This Row],[Smallest low (US$)]]/Table3[[#This Row],[Largest high (US$)]]</f>
        <v>0.76164760144148491</v>
      </c>
      <c r="F4" s="44">
        <f>100%</f>
        <v>1</v>
      </c>
    </row>
    <row r="7" spans="2:6" x14ac:dyDescent="0.25">
      <c r="C7" s="2"/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C6EEC-A1C2-4DC1-A71C-AEEFB212C152}">
  <dimension ref="B2:F382"/>
  <sheetViews>
    <sheetView workbookViewId="0">
      <selection activeCell="I36" sqref="I36"/>
    </sheetView>
  </sheetViews>
  <sheetFormatPr defaultRowHeight="15.75" x14ac:dyDescent="0.25"/>
  <cols>
    <col min="2" max="2" width="12.375" bestFit="1" customWidth="1"/>
    <col min="3" max="3" width="15.25" bestFit="1" customWidth="1"/>
    <col min="4" max="4" width="9.875" bestFit="1" customWidth="1"/>
    <col min="5" max="5" width="6.875" hidden="1" customWidth="1"/>
    <col min="6" max="6" width="11" hidden="1" customWidth="1"/>
    <col min="7" max="59" width="8.875" bestFit="1" customWidth="1"/>
    <col min="60" max="60" width="7.375" bestFit="1" customWidth="1"/>
    <col min="61" max="364" width="8.875" bestFit="1" customWidth="1"/>
    <col min="365" max="365" width="11" bestFit="1" customWidth="1"/>
  </cols>
  <sheetData>
    <row r="2" spans="2:6" x14ac:dyDescent="0.25">
      <c r="B2" s="7" t="s">
        <v>46</v>
      </c>
      <c r="C2" s="7" t="s">
        <v>44</v>
      </c>
    </row>
    <row r="3" spans="2:6" x14ac:dyDescent="0.25">
      <c r="B3" s="7" t="s">
        <v>41</v>
      </c>
      <c r="C3" t="s">
        <v>5</v>
      </c>
      <c r="D3" t="s">
        <v>18</v>
      </c>
      <c r="E3" t="s">
        <v>42</v>
      </c>
      <c r="F3" t="s">
        <v>43</v>
      </c>
    </row>
    <row r="4" spans="2:6" x14ac:dyDescent="0.25">
      <c r="B4" s="23" t="s">
        <v>4</v>
      </c>
      <c r="C4" s="13">
        <v>3483491.7142857141</v>
      </c>
      <c r="D4" s="14">
        <v>379374.84210526315</v>
      </c>
      <c r="E4" s="2"/>
      <c r="F4" s="2">
        <v>2228635.9574468085</v>
      </c>
    </row>
    <row r="5" spans="2:6" x14ac:dyDescent="0.25">
      <c r="B5" s="24" t="s">
        <v>6</v>
      </c>
      <c r="C5" s="13">
        <v>4641936.9642857146</v>
      </c>
      <c r="D5" s="14">
        <v>388343.21052631579</v>
      </c>
      <c r="E5" s="2"/>
      <c r="F5" s="2">
        <v>2922399.0638297871</v>
      </c>
    </row>
    <row r="6" spans="2:6" x14ac:dyDescent="0.25">
      <c r="B6" s="23" t="s">
        <v>7</v>
      </c>
      <c r="C6" s="13">
        <v>5494663.5</v>
      </c>
      <c r="D6" s="14">
        <v>391050.82608695654</v>
      </c>
      <c r="E6" s="2"/>
      <c r="F6" s="2">
        <v>3279888.1886792453</v>
      </c>
    </row>
    <row r="7" spans="2:6" x14ac:dyDescent="0.25">
      <c r="B7" s="24" t="s">
        <v>8</v>
      </c>
      <c r="C7" s="13">
        <v>5705380.4666666668</v>
      </c>
      <c r="D7" s="14">
        <v>414117.61904761905</v>
      </c>
      <c r="E7" s="2"/>
      <c r="F7" s="2">
        <v>3526625.1764705884</v>
      </c>
    </row>
    <row r="8" spans="2:6" x14ac:dyDescent="0.25">
      <c r="B8" s="23" t="s">
        <v>9</v>
      </c>
      <c r="C8" s="13">
        <v>4605342.7333333334</v>
      </c>
      <c r="D8" s="14">
        <v>416784.95</v>
      </c>
      <c r="E8" s="2"/>
      <c r="F8" s="2">
        <v>2929919.62</v>
      </c>
    </row>
    <row r="9" spans="2:6" x14ac:dyDescent="0.25">
      <c r="B9" s="24" t="s">
        <v>10</v>
      </c>
      <c r="C9" s="13">
        <v>3571823.7</v>
      </c>
      <c r="D9" s="14">
        <v>423848.95454545453</v>
      </c>
      <c r="E9" s="2"/>
      <c r="F9" s="2">
        <v>2239988.230769231</v>
      </c>
    </row>
    <row r="10" spans="2:6" x14ac:dyDescent="0.25">
      <c r="B10" s="23" t="s">
        <v>11</v>
      </c>
      <c r="C10" s="13">
        <v>3442799.5806451612</v>
      </c>
      <c r="D10" s="14">
        <v>436371.28571428574</v>
      </c>
      <c r="E10" s="2"/>
      <c r="F10" s="2">
        <v>2228665.076923077</v>
      </c>
    </row>
    <row r="11" spans="2:6" x14ac:dyDescent="0.25">
      <c r="B11" s="24" t="s">
        <v>12</v>
      </c>
      <c r="C11" s="13">
        <v>4561923.5161290327</v>
      </c>
      <c r="D11" s="14">
        <v>445396.59090909088</v>
      </c>
      <c r="E11" s="2"/>
      <c r="F11" s="2">
        <v>2853176.4905660376</v>
      </c>
    </row>
    <row r="12" spans="2:6" x14ac:dyDescent="0.25">
      <c r="B12" s="23" t="s">
        <v>13</v>
      </c>
      <c r="C12" s="13">
        <v>4603419.5333333332</v>
      </c>
      <c r="D12" s="14">
        <v>444554.33333333331</v>
      </c>
      <c r="E12" s="2"/>
      <c r="F12" s="2">
        <v>2890945.6274509802</v>
      </c>
    </row>
    <row r="13" spans="2:6" x14ac:dyDescent="0.25">
      <c r="B13" s="24" t="s">
        <v>14</v>
      </c>
      <c r="C13" s="13">
        <v>5808966.4516129028</v>
      </c>
      <c r="D13" s="14">
        <v>446070.71428571426</v>
      </c>
      <c r="E13" s="2"/>
      <c r="F13" s="2">
        <v>3643181.6346153845</v>
      </c>
    </row>
    <row r="14" spans="2:6" x14ac:dyDescent="0.25">
      <c r="B14" s="23" t="s">
        <v>15</v>
      </c>
      <c r="C14" s="13">
        <v>6056054.1333333338</v>
      </c>
      <c r="D14" s="14">
        <v>466738.66666666669</v>
      </c>
      <c r="E14" s="2"/>
      <c r="F14" s="2">
        <v>3754571.2941176472</v>
      </c>
    </row>
    <row r="15" spans="2:6" x14ac:dyDescent="0.25">
      <c r="B15" s="24" t="s">
        <v>16</v>
      </c>
      <c r="C15" s="13">
        <v>4929997.5161290327</v>
      </c>
      <c r="D15" s="14">
        <v>467477.27272727271</v>
      </c>
      <c r="E15" s="2"/>
      <c r="F15" s="2">
        <v>3077630.6226415094</v>
      </c>
    </row>
    <row r="16" spans="2:6" hidden="1" x14ac:dyDescent="0.25">
      <c r="B16" s="8" t="s">
        <v>42</v>
      </c>
      <c r="C16" s="2"/>
      <c r="D16" s="2"/>
      <c r="E16" s="2"/>
      <c r="F16" s="2"/>
    </row>
    <row r="17" spans="2:6" x14ac:dyDescent="0.25">
      <c r="B17" s="9" t="s">
        <v>43</v>
      </c>
      <c r="C17" s="11">
        <v>4749074.5111111114</v>
      </c>
      <c r="D17" s="11">
        <v>427338.56349206349</v>
      </c>
      <c r="E17" s="11"/>
      <c r="F17" s="11">
        <v>2969536.1797385621</v>
      </c>
    </row>
    <row r="19" spans="2:6" x14ac:dyDescent="0.25">
      <c r="B19" s="7" t="s">
        <v>408</v>
      </c>
      <c r="C19" s="7" t="s">
        <v>44</v>
      </c>
    </row>
    <row r="20" spans="2:6" x14ac:dyDescent="0.25">
      <c r="B20" s="7" t="s">
        <v>41</v>
      </c>
      <c r="C20" t="s">
        <v>5</v>
      </c>
      <c r="D20" t="s">
        <v>18</v>
      </c>
      <c r="E20" t="s">
        <v>43</v>
      </c>
    </row>
    <row r="21" spans="2:6" hidden="1" x14ac:dyDescent="0.25">
      <c r="B21" s="15" t="s">
        <v>47</v>
      </c>
      <c r="C21" s="16">
        <v>3366900</v>
      </c>
      <c r="D21" s="14">
        <v>376999</v>
      </c>
      <c r="E21" s="12">
        <v>3743899</v>
      </c>
    </row>
    <row r="22" spans="2:6" x14ac:dyDescent="0.25">
      <c r="B22" s="23" t="s">
        <v>48</v>
      </c>
      <c r="C22" s="16">
        <v>3453629</v>
      </c>
      <c r="D22" s="14">
        <v>373783</v>
      </c>
      <c r="E22" s="12">
        <v>3827412</v>
      </c>
    </row>
    <row r="23" spans="2:6" x14ac:dyDescent="0.25">
      <c r="B23" s="24" t="s">
        <v>49</v>
      </c>
      <c r="C23" s="16">
        <v>3782448</v>
      </c>
      <c r="D23" s="14">
        <v>378304</v>
      </c>
      <c r="E23" s="12">
        <v>4160752</v>
      </c>
    </row>
    <row r="24" spans="2:6" x14ac:dyDescent="0.25">
      <c r="B24" s="23" t="s">
        <v>50</v>
      </c>
      <c r="C24" s="16">
        <v>4039600</v>
      </c>
      <c r="D24" s="14">
        <v>381155</v>
      </c>
      <c r="E24" s="12">
        <v>4420755</v>
      </c>
    </row>
    <row r="25" spans="2:6" x14ac:dyDescent="0.25">
      <c r="B25" s="24" t="s">
        <v>51</v>
      </c>
      <c r="C25" s="16">
        <v>4199999</v>
      </c>
      <c r="D25" s="14">
        <v>382669</v>
      </c>
      <c r="E25" s="12">
        <v>4582668</v>
      </c>
    </row>
    <row r="26" spans="2:6" x14ac:dyDescent="0.25">
      <c r="B26" s="23" t="s">
        <v>52</v>
      </c>
      <c r="C26" s="16">
        <v>4147021</v>
      </c>
      <c r="D26" s="14"/>
      <c r="E26" s="12">
        <v>4147021</v>
      </c>
    </row>
    <row r="27" spans="2:6" x14ac:dyDescent="0.25">
      <c r="B27" s="24" t="s">
        <v>53</v>
      </c>
      <c r="C27" s="16">
        <v>4119662</v>
      </c>
      <c r="D27" s="14"/>
      <c r="E27" s="12">
        <v>4119662</v>
      </c>
    </row>
    <row r="28" spans="2:6" x14ac:dyDescent="0.25">
      <c r="B28" s="23" t="s">
        <v>54</v>
      </c>
      <c r="C28" s="16">
        <v>3632325</v>
      </c>
      <c r="D28" s="14">
        <v>381786</v>
      </c>
      <c r="E28" s="12">
        <v>4014111</v>
      </c>
    </row>
    <row r="29" spans="2:6" x14ac:dyDescent="0.25">
      <c r="B29" s="24" t="s">
        <v>55</v>
      </c>
      <c r="C29" s="16">
        <v>3665134</v>
      </c>
      <c r="D29" s="14">
        <v>381078</v>
      </c>
      <c r="E29" s="12">
        <v>4046212</v>
      </c>
    </row>
    <row r="30" spans="2:6" x14ac:dyDescent="0.25">
      <c r="B30" s="23" t="s">
        <v>56</v>
      </c>
      <c r="C30" s="16">
        <v>3818833</v>
      </c>
      <c r="D30" s="14">
        <v>382096</v>
      </c>
      <c r="E30" s="12">
        <v>4200929</v>
      </c>
    </row>
    <row r="31" spans="2:6" x14ac:dyDescent="0.25">
      <c r="B31" s="24" t="s">
        <v>57</v>
      </c>
      <c r="C31" s="16">
        <v>4011279</v>
      </c>
      <c r="D31" s="14">
        <v>382360</v>
      </c>
      <c r="E31" s="12">
        <v>4393639</v>
      </c>
    </row>
    <row r="32" spans="2:6" x14ac:dyDescent="0.25">
      <c r="B32" s="23" t="s">
        <v>58</v>
      </c>
      <c r="C32" s="16">
        <v>3884996</v>
      </c>
      <c r="D32" s="14">
        <v>378873</v>
      </c>
      <c r="E32" s="12">
        <v>4263869</v>
      </c>
    </row>
    <row r="33" spans="2:5" x14ac:dyDescent="0.25">
      <c r="B33" s="24" t="s">
        <v>59</v>
      </c>
      <c r="C33" s="16">
        <v>3794971</v>
      </c>
      <c r="D33" s="14"/>
      <c r="E33" s="12">
        <v>3794971</v>
      </c>
    </row>
    <row r="34" spans="2:5" x14ac:dyDescent="0.25">
      <c r="B34" s="23" t="s">
        <v>60</v>
      </c>
      <c r="C34" s="16">
        <v>3684011</v>
      </c>
      <c r="D34" s="14"/>
      <c r="E34" s="12">
        <v>3684011</v>
      </c>
    </row>
    <row r="35" spans="2:5" x14ac:dyDescent="0.25">
      <c r="B35" s="24" t="s">
        <v>61</v>
      </c>
      <c r="C35" s="16">
        <v>3746921</v>
      </c>
      <c r="D35" s="14"/>
      <c r="E35" s="12">
        <v>3746921</v>
      </c>
    </row>
    <row r="36" spans="2:5" x14ac:dyDescent="0.25">
      <c r="B36" s="23" t="s">
        <v>62</v>
      </c>
      <c r="C36" s="16">
        <v>3793420</v>
      </c>
      <c r="D36" s="14">
        <v>380453</v>
      </c>
      <c r="E36" s="12">
        <v>4173873</v>
      </c>
    </row>
    <row r="37" spans="2:5" x14ac:dyDescent="0.25">
      <c r="B37" s="24" t="s">
        <v>63</v>
      </c>
      <c r="C37" s="16">
        <v>3596495</v>
      </c>
      <c r="D37" s="14">
        <v>385975</v>
      </c>
      <c r="E37" s="12">
        <v>3982470</v>
      </c>
    </row>
    <row r="38" spans="2:5" x14ac:dyDescent="0.25">
      <c r="B38" s="23" t="s">
        <v>64</v>
      </c>
      <c r="C38" s="16">
        <v>3500000</v>
      </c>
      <c r="D38" s="14">
        <v>386145</v>
      </c>
      <c r="E38" s="12">
        <v>3886145</v>
      </c>
    </row>
    <row r="39" spans="2:5" x14ac:dyDescent="0.25">
      <c r="B39" s="24" t="s">
        <v>65</v>
      </c>
      <c r="C39" s="16">
        <v>3388000</v>
      </c>
      <c r="D39" s="14">
        <v>385231</v>
      </c>
      <c r="E39" s="12">
        <v>3773231</v>
      </c>
    </row>
    <row r="40" spans="2:5" x14ac:dyDescent="0.25">
      <c r="B40" s="23" t="s">
        <v>66</v>
      </c>
      <c r="C40" s="16">
        <v>3347949</v>
      </c>
      <c r="D40" s="14"/>
      <c r="E40" s="12">
        <v>3347949</v>
      </c>
    </row>
    <row r="41" spans="2:5" x14ac:dyDescent="0.25">
      <c r="B41" s="24" t="s">
        <v>67</v>
      </c>
      <c r="C41" s="16">
        <v>3367218</v>
      </c>
      <c r="D41" s="14"/>
      <c r="E41" s="12">
        <v>3367218</v>
      </c>
    </row>
    <row r="42" spans="2:5" x14ac:dyDescent="0.25">
      <c r="B42" s="23" t="s">
        <v>68</v>
      </c>
      <c r="C42" s="16">
        <v>3488556</v>
      </c>
      <c r="D42" s="14">
        <v>385923</v>
      </c>
      <c r="E42" s="12">
        <v>3874479</v>
      </c>
    </row>
    <row r="43" spans="2:5" x14ac:dyDescent="0.25">
      <c r="B43" s="24" t="s">
        <v>69</v>
      </c>
      <c r="C43" s="16">
        <v>3295100</v>
      </c>
      <c r="D43" s="14">
        <v>387090</v>
      </c>
      <c r="E43" s="12">
        <v>3682190</v>
      </c>
    </row>
    <row r="44" spans="2:5" x14ac:dyDescent="0.25">
      <c r="B44" s="23" t="s">
        <v>70</v>
      </c>
      <c r="C44" s="16">
        <v>3205973</v>
      </c>
      <c r="D44" s="14">
        <v>383683</v>
      </c>
      <c r="E44" s="12">
        <v>3589656</v>
      </c>
    </row>
    <row r="45" spans="2:5" x14ac:dyDescent="0.25">
      <c r="B45" s="24" t="s">
        <v>71</v>
      </c>
      <c r="C45" s="16">
        <v>3467177</v>
      </c>
      <c r="D45" s="14">
        <v>383050</v>
      </c>
      <c r="E45" s="12">
        <v>3850227</v>
      </c>
    </row>
    <row r="46" spans="2:5" x14ac:dyDescent="0.25">
      <c r="B46" s="23" t="s">
        <v>72</v>
      </c>
      <c r="C46" s="16">
        <v>3866571</v>
      </c>
      <c r="D46" s="14">
        <v>377805</v>
      </c>
      <c r="E46" s="12">
        <v>4244376</v>
      </c>
    </row>
    <row r="47" spans="2:5" x14ac:dyDescent="0.25">
      <c r="B47" s="24" t="s">
        <v>73</v>
      </c>
      <c r="C47" s="16">
        <v>3480565</v>
      </c>
      <c r="D47" s="14"/>
      <c r="E47" s="12">
        <v>3480565</v>
      </c>
    </row>
    <row r="48" spans="2:5" x14ac:dyDescent="0.25">
      <c r="B48" s="23" t="s">
        <v>74</v>
      </c>
      <c r="C48" s="16">
        <v>3420500</v>
      </c>
      <c r="D48" s="14"/>
      <c r="E48" s="12">
        <v>3420500</v>
      </c>
    </row>
    <row r="49" spans="2:5" x14ac:dyDescent="0.25">
      <c r="B49" s="24" t="s">
        <v>75</v>
      </c>
      <c r="C49" s="16">
        <v>3470000</v>
      </c>
      <c r="D49" s="14">
        <v>378432</v>
      </c>
      <c r="E49" s="12">
        <v>3848432</v>
      </c>
    </row>
    <row r="50" spans="2:5" x14ac:dyDescent="0.25">
      <c r="B50" s="23" t="s">
        <v>76</v>
      </c>
      <c r="C50" s="16">
        <v>3654505</v>
      </c>
      <c r="D50" s="14">
        <v>384309</v>
      </c>
      <c r="E50" s="12">
        <v>4038814</v>
      </c>
    </row>
    <row r="51" spans="2:5" x14ac:dyDescent="0.25">
      <c r="B51" s="24" t="s">
        <v>77</v>
      </c>
      <c r="C51" s="16">
        <v>3837500</v>
      </c>
      <c r="D51" s="14">
        <v>384751</v>
      </c>
      <c r="E51" s="12">
        <v>4222251</v>
      </c>
    </row>
    <row r="52" spans="2:5" x14ac:dyDescent="0.25">
      <c r="B52" s="23" t="s">
        <v>78</v>
      </c>
      <c r="C52" s="16">
        <v>3878599</v>
      </c>
      <c r="D52" s="14">
        <v>387242</v>
      </c>
      <c r="E52" s="12">
        <v>4265841</v>
      </c>
    </row>
    <row r="53" spans="2:5" x14ac:dyDescent="0.25">
      <c r="B53" s="24" t="s">
        <v>79</v>
      </c>
      <c r="C53" s="16">
        <v>3970000</v>
      </c>
      <c r="D53" s="14">
        <v>389456</v>
      </c>
      <c r="E53" s="12">
        <v>4359456</v>
      </c>
    </row>
    <row r="54" spans="2:5" x14ac:dyDescent="0.25">
      <c r="B54" s="23" t="s">
        <v>80</v>
      </c>
      <c r="C54" s="16">
        <v>4100000</v>
      </c>
      <c r="D54" s="14"/>
      <c r="E54" s="12">
        <v>4100000</v>
      </c>
    </row>
    <row r="55" spans="2:5" x14ac:dyDescent="0.25">
      <c r="B55" s="24" t="s">
        <v>81</v>
      </c>
      <c r="C55" s="16">
        <v>3974896</v>
      </c>
      <c r="D55" s="14"/>
      <c r="E55" s="12">
        <v>3974896</v>
      </c>
    </row>
    <row r="56" spans="2:5" x14ac:dyDescent="0.25">
      <c r="B56" s="23" t="s">
        <v>82</v>
      </c>
      <c r="C56" s="16">
        <v>4751931</v>
      </c>
      <c r="D56" s="14">
        <v>391577</v>
      </c>
      <c r="E56" s="12">
        <v>5143508</v>
      </c>
    </row>
    <row r="57" spans="2:5" x14ac:dyDescent="0.25">
      <c r="B57" s="24" t="s">
        <v>83</v>
      </c>
      <c r="C57" s="16">
        <v>4820123</v>
      </c>
      <c r="D57" s="14">
        <v>391835</v>
      </c>
      <c r="E57" s="12">
        <v>5211958</v>
      </c>
    </row>
    <row r="58" spans="2:5" x14ac:dyDescent="0.25">
      <c r="B58" s="23" t="s">
        <v>84</v>
      </c>
      <c r="C58" s="16">
        <v>4736717</v>
      </c>
      <c r="D58" s="14">
        <v>393150</v>
      </c>
      <c r="E58" s="12">
        <v>5129867</v>
      </c>
    </row>
    <row r="59" spans="2:5" x14ac:dyDescent="0.25">
      <c r="B59" s="24" t="s">
        <v>85</v>
      </c>
      <c r="C59" s="16">
        <v>4897500</v>
      </c>
      <c r="D59" s="14">
        <v>392599</v>
      </c>
      <c r="E59" s="12">
        <v>5290099</v>
      </c>
    </row>
    <row r="60" spans="2:5" x14ac:dyDescent="0.25">
      <c r="B60" s="23" t="s">
        <v>86</v>
      </c>
      <c r="C60" s="16">
        <v>4824660</v>
      </c>
      <c r="D60" s="14">
        <v>393723</v>
      </c>
      <c r="E60" s="12">
        <v>5218383</v>
      </c>
    </row>
    <row r="61" spans="2:5" x14ac:dyDescent="0.25">
      <c r="B61" s="24" t="s">
        <v>87</v>
      </c>
      <c r="C61" s="16">
        <v>4802730</v>
      </c>
      <c r="D61" s="14"/>
      <c r="E61" s="12">
        <v>4802730</v>
      </c>
    </row>
    <row r="62" spans="2:5" x14ac:dyDescent="0.25">
      <c r="B62" s="23" t="s">
        <v>88</v>
      </c>
      <c r="C62" s="16">
        <v>4970000</v>
      </c>
      <c r="D62" s="14"/>
      <c r="E62" s="12">
        <v>4970000</v>
      </c>
    </row>
    <row r="63" spans="2:5" x14ac:dyDescent="0.25">
      <c r="B63" s="24" t="s">
        <v>89</v>
      </c>
      <c r="C63" s="16">
        <v>4960000</v>
      </c>
      <c r="D63" s="14"/>
      <c r="E63" s="12">
        <v>4960000</v>
      </c>
    </row>
    <row r="64" spans="2:5" x14ac:dyDescent="0.25">
      <c r="B64" s="23" t="s">
        <v>90</v>
      </c>
      <c r="C64" s="16">
        <v>5060234</v>
      </c>
      <c r="D64" s="14">
        <v>395043</v>
      </c>
      <c r="E64" s="12">
        <v>5455277</v>
      </c>
    </row>
    <row r="65" spans="2:5" x14ac:dyDescent="0.25">
      <c r="B65" s="24" t="s">
        <v>91</v>
      </c>
      <c r="C65" s="16">
        <v>5266845</v>
      </c>
      <c r="D65" s="14">
        <v>393361</v>
      </c>
      <c r="E65" s="12">
        <v>5660206</v>
      </c>
    </row>
    <row r="66" spans="2:5" x14ac:dyDescent="0.25">
      <c r="B66" s="23" t="s">
        <v>92</v>
      </c>
      <c r="C66" s="16">
        <v>5234400</v>
      </c>
      <c r="D66" s="14">
        <v>392198</v>
      </c>
      <c r="E66" s="12">
        <v>5626598</v>
      </c>
    </row>
    <row r="67" spans="2:5" x14ac:dyDescent="0.25">
      <c r="B67" s="24" t="s">
        <v>93</v>
      </c>
      <c r="C67" s="16">
        <v>5660560</v>
      </c>
      <c r="D67" s="14">
        <v>393041</v>
      </c>
      <c r="E67" s="12">
        <v>6053601</v>
      </c>
    </row>
    <row r="68" spans="2:5" x14ac:dyDescent="0.25">
      <c r="B68" s="23" t="s">
        <v>94</v>
      </c>
      <c r="C68" s="16">
        <v>5750000</v>
      </c>
      <c r="D68" s="14"/>
      <c r="E68" s="12">
        <v>5750000</v>
      </c>
    </row>
    <row r="69" spans="2:5" x14ac:dyDescent="0.25">
      <c r="B69" s="24" t="s">
        <v>95</v>
      </c>
      <c r="C69" s="16">
        <v>5848160</v>
      </c>
      <c r="D69" s="14"/>
      <c r="E69" s="12">
        <v>5848160</v>
      </c>
    </row>
    <row r="70" spans="2:5" x14ac:dyDescent="0.25">
      <c r="B70" s="23" t="s">
        <v>96</v>
      </c>
      <c r="C70" s="16">
        <v>5665147</v>
      </c>
      <c r="D70" s="14">
        <v>390292</v>
      </c>
      <c r="E70" s="12">
        <v>6055439</v>
      </c>
    </row>
    <row r="71" spans="2:5" x14ac:dyDescent="0.25">
      <c r="B71" s="24" t="s">
        <v>97</v>
      </c>
      <c r="C71" s="16">
        <v>5229487</v>
      </c>
      <c r="D71" s="14">
        <v>389598</v>
      </c>
      <c r="E71" s="12">
        <v>5619085</v>
      </c>
    </row>
    <row r="72" spans="2:5" x14ac:dyDescent="0.25">
      <c r="B72" s="23" t="s">
        <v>98</v>
      </c>
      <c r="C72" s="16">
        <v>5144201</v>
      </c>
      <c r="D72" s="14">
        <v>392865</v>
      </c>
      <c r="E72" s="12">
        <v>5537066</v>
      </c>
    </row>
    <row r="73" spans="2:5" x14ac:dyDescent="0.25">
      <c r="B73" s="24" t="s">
        <v>99</v>
      </c>
      <c r="C73" s="16">
        <v>5207400</v>
      </c>
      <c r="D73" s="14">
        <v>392502</v>
      </c>
      <c r="E73" s="12">
        <v>5599902</v>
      </c>
    </row>
    <row r="74" spans="2:5" x14ac:dyDescent="0.25">
      <c r="B74" s="23" t="s">
        <v>100</v>
      </c>
      <c r="C74" s="16">
        <v>4847208</v>
      </c>
      <c r="D74" s="14">
        <v>386108</v>
      </c>
      <c r="E74" s="12">
        <v>5233316</v>
      </c>
    </row>
    <row r="75" spans="2:5" x14ac:dyDescent="0.25">
      <c r="B75" s="24" t="s">
        <v>101</v>
      </c>
      <c r="C75" s="16">
        <v>4838014</v>
      </c>
      <c r="D75" s="14"/>
      <c r="E75" s="12">
        <v>4838014</v>
      </c>
    </row>
    <row r="76" spans="2:5" x14ac:dyDescent="0.25">
      <c r="B76" s="23" t="s">
        <v>102</v>
      </c>
      <c r="C76" s="16">
        <v>4692000</v>
      </c>
      <c r="D76" s="14"/>
      <c r="E76" s="12">
        <v>4692000</v>
      </c>
    </row>
    <row r="77" spans="2:5" x14ac:dyDescent="0.25">
      <c r="B77" s="24" t="s">
        <v>103</v>
      </c>
      <c r="C77" s="16"/>
      <c r="D77" s="14">
        <v>391450</v>
      </c>
      <c r="E77" s="12">
        <v>391450</v>
      </c>
    </row>
    <row r="78" spans="2:5" x14ac:dyDescent="0.25">
      <c r="B78" s="23" t="s">
        <v>104</v>
      </c>
      <c r="C78" s="16">
        <v>4975722</v>
      </c>
      <c r="D78" s="14">
        <v>390641</v>
      </c>
      <c r="E78" s="12">
        <v>5366363</v>
      </c>
    </row>
    <row r="79" spans="2:5" x14ac:dyDescent="0.25">
      <c r="B79" s="24" t="s">
        <v>105</v>
      </c>
      <c r="C79" s="16">
        <v>5273720</v>
      </c>
      <c r="D79" s="14">
        <v>387447</v>
      </c>
      <c r="E79" s="12">
        <v>5661167</v>
      </c>
    </row>
    <row r="80" spans="2:5" x14ac:dyDescent="0.25">
      <c r="B80" s="23" t="s">
        <v>106</v>
      </c>
      <c r="C80" s="16">
        <v>5075439</v>
      </c>
      <c r="D80" s="14">
        <v>384367</v>
      </c>
      <c r="E80" s="12">
        <v>5459806</v>
      </c>
    </row>
    <row r="81" spans="2:5" x14ac:dyDescent="0.25">
      <c r="B81" s="24" t="s">
        <v>107</v>
      </c>
      <c r="C81" s="16">
        <v>4945561</v>
      </c>
      <c r="D81" s="14">
        <v>385169</v>
      </c>
      <c r="E81" s="12">
        <v>5330730</v>
      </c>
    </row>
    <row r="82" spans="2:5" x14ac:dyDescent="0.25">
      <c r="B82" s="23" t="s">
        <v>108</v>
      </c>
      <c r="C82" s="16">
        <v>4991573</v>
      </c>
      <c r="D82" s="14"/>
      <c r="E82" s="12">
        <v>4991573</v>
      </c>
    </row>
    <row r="83" spans="2:5" x14ac:dyDescent="0.25">
      <c r="B83" s="24" t="s">
        <v>109</v>
      </c>
      <c r="C83" s="16">
        <v>5183215</v>
      </c>
      <c r="D83" s="14"/>
      <c r="E83" s="12">
        <v>5183215</v>
      </c>
    </row>
    <row r="84" spans="2:5" x14ac:dyDescent="0.25">
      <c r="B84" s="23" t="s">
        <v>110</v>
      </c>
      <c r="C84" s="16">
        <v>5412600</v>
      </c>
      <c r="D84" s="14">
        <v>388106</v>
      </c>
      <c r="E84" s="12">
        <v>5800706</v>
      </c>
    </row>
    <row r="85" spans="2:5" x14ac:dyDescent="0.25">
      <c r="B85" s="24" t="s">
        <v>111</v>
      </c>
      <c r="C85" s="16">
        <v>5584768</v>
      </c>
      <c r="D85" s="14">
        <v>390376</v>
      </c>
      <c r="E85" s="12">
        <v>5975144</v>
      </c>
    </row>
    <row r="86" spans="2:5" x14ac:dyDescent="0.25">
      <c r="B86" s="23" t="s">
        <v>112</v>
      </c>
      <c r="C86" s="16">
        <v>5740000</v>
      </c>
      <c r="D86" s="14">
        <v>391735</v>
      </c>
      <c r="E86" s="12">
        <v>6131735</v>
      </c>
    </row>
    <row r="87" spans="2:5" x14ac:dyDescent="0.25">
      <c r="B87" s="24" t="s">
        <v>113</v>
      </c>
      <c r="C87" s="16">
        <v>5812000</v>
      </c>
      <c r="D87" s="14">
        <v>396027</v>
      </c>
      <c r="E87" s="12">
        <v>6208027</v>
      </c>
    </row>
    <row r="88" spans="2:5" x14ac:dyDescent="0.25">
      <c r="B88" s="23" t="s">
        <v>114</v>
      </c>
      <c r="C88" s="16">
        <v>5795922</v>
      </c>
      <c r="D88" s="14">
        <v>394499</v>
      </c>
      <c r="E88" s="12">
        <v>6190421</v>
      </c>
    </row>
    <row r="89" spans="2:5" x14ac:dyDescent="0.25">
      <c r="B89" s="24" t="s">
        <v>115</v>
      </c>
      <c r="C89" s="16">
        <v>6178500</v>
      </c>
      <c r="D89" s="14"/>
      <c r="E89" s="12">
        <v>6178500</v>
      </c>
    </row>
    <row r="90" spans="2:5" x14ac:dyDescent="0.25">
      <c r="B90" s="23" t="s">
        <v>116</v>
      </c>
      <c r="C90" s="16">
        <v>6150082</v>
      </c>
      <c r="D90" s="14"/>
      <c r="E90" s="12">
        <v>6150082</v>
      </c>
    </row>
    <row r="91" spans="2:5" x14ac:dyDescent="0.25">
      <c r="B91" s="24" t="s">
        <v>117</v>
      </c>
      <c r="C91" s="16">
        <v>6056159</v>
      </c>
      <c r="D91" s="14">
        <v>397008</v>
      </c>
      <c r="E91" s="12">
        <v>6453167</v>
      </c>
    </row>
    <row r="92" spans="2:5" x14ac:dyDescent="0.25">
      <c r="B92" s="23" t="s">
        <v>118</v>
      </c>
      <c r="C92" s="16">
        <v>5718578</v>
      </c>
      <c r="D92" s="14">
        <v>398104</v>
      </c>
      <c r="E92" s="12">
        <v>6116682</v>
      </c>
    </row>
    <row r="93" spans="2:5" x14ac:dyDescent="0.25">
      <c r="B93" s="24" t="s">
        <v>119</v>
      </c>
      <c r="C93" s="16">
        <v>5956759</v>
      </c>
      <c r="D93" s="14">
        <v>398387</v>
      </c>
      <c r="E93" s="12">
        <v>6355146</v>
      </c>
    </row>
    <row r="94" spans="2:5" x14ac:dyDescent="0.25">
      <c r="B94" s="23" t="s">
        <v>120</v>
      </c>
      <c r="C94" s="16">
        <v>6009999</v>
      </c>
      <c r="D94" s="14">
        <v>396962</v>
      </c>
      <c r="E94" s="12">
        <v>6406961</v>
      </c>
    </row>
    <row r="95" spans="2:5" x14ac:dyDescent="0.25">
      <c r="B95" s="24" t="s">
        <v>121</v>
      </c>
      <c r="C95" s="16">
        <v>5944839</v>
      </c>
      <c r="D95" s="14">
        <v>393012</v>
      </c>
      <c r="E95" s="12">
        <v>6337851</v>
      </c>
    </row>
    <row r="96" spans="2:5" x14ac:dyDescent="0.25">
      <c r="B96" s="23" t="s">
        <v>122</v>
      </c>
      <c r="C96" s="16">
        <v>5988000</v>
      </c>
      <c r="D96" s="14"/>
      <c r="E96" s="12">
        <v>5988000</v>
      </c>
    </row>
    <row r="97" spans="2:5" x14ac:dyDescent="0.25">
      <c r="B97" s="24" t="s">
        <v>123</v>
      </c>
      <c r="C97" s="16">
        <v>5816458</v>
      </c>
      <c r="D97" s="14"/>
      <c r="E97" s="12">
        <v>5816458</v>
      </c>
    </row>
    <row r="98" spans="2:5" x14ac:dyDescent="0.25">
      <c r="B98" s="23" t="s">
        <v>124</v>
      </c>
      <c r="C98" s="16">
        <v>5844536</v>
      </c>
      <c r="D98" s="14">
        <v>395531</v>
      </c>
      <c r="E98" s="12">
        <v>6240067</v>
      </c>
    </row>
    <row r="99" spans="2:5" x14ac:dyDescent="0.25">
      <c r="B99" s="24" t="s">
        <v>125</v>
      </c>
      <c r="C99" s="16">
        <v>5590362</v>
      </c>
      <c r="D99" s="14">
        <v>394913</v>
      </c>
      <c r="E99" s="12">
        <v>5985275</v>
      </c>
    </row>
    <row r="100" spans="2:5" x14ac:dyDescent="0.25">
      <c r="B100" s="23" t="s">
        <v>126</v>
      </c>
      <c r="C100" s="16">
        <v>5724500</v>
      </c>
      <c r="D100" s="14">
        <v>394208</v>
      </c>
      <c r="E100" s="12">
        <v>6118708</v>
      </c>
    </row>
    <row r="101" spans="2:5" x14ac:dyDescent="0.25">
      <c r="B101" s="24" t="s">
        <v>127</v>
      </c>
      <c r="C101" s="16">
        <v>5323452</v>
      </c>
      <c r="D101" s="14">
        <v>391954</v>
      </c>
      <c r="E101" s="12">
        <v>5715406</v>
      </c>
    </row>
    <row r="102" spans="2:5" x14ac:dyDescent="0.25">
      <c r="B102" s="23" t="s">
        <v>128</v>
      </c>
      <c r="C102" s="16">
        <v>5562721</v>
      </c>
      <c r="D102" s="14">
        <v>397819</v>
      </c>
      <c r="E102" s="12">
        <v>5960540</v>
      </c>
    </row>
    <row r="103" spans="2:5" x14ac:dyDescent="0.25">
      <c r="B103" s="24" t="s">
        <v>129</v>
      </c>
      <c r="C103" s="16">
        <v>5662433</v>
      </c>
      <c r="D103" s="14"/>
      <c r="E103" s="12">
        <v>5662433</v>
      </c>
    </row>
    <row r="104" spans="2:5" x14ac:dyDescent="0.25">
      <c r="B104" s="23" t="s">
        <v>130</v>
      </c>
      <c r="C104" s="16">
        <v>5657623</v>
      </c>
      <c r="D104" s="14"/>
      <c r="E104" s="12">
        <v>5657623</v>
      </c>
    </row>
    <row r="105" spans="2:5" x14ac:dyDescent="0.25">
      <c r="B105" s="24" t="s">
        <v>131</v>
      </c>
      <c r="C105" s="16">
        <v>5843077</v>
      </c>
      <c r="D105" s="14">
        <v>398183</v>
      </c>
      <c r="E105" s="12">
        <v>6241260</v>
      </c>
    </row>
    <row r="106" spans="2:5" x14ac:dyDescent="0.25">
      <c r="B106" s="23" t="s">
        <v>132</v>
      </c>
      <c r="C106" s="16">
        <v>5938500</v>
      </c>
      <c r="D106" s="14">
        <v>396801</v>
      </c>
      <c r="E106" s="12">
        <v>6335301</v>
      </c>
    </row>
    <row r="107" spans="2:5" x14ac:dyDescent="0.25">
      <c r="B107" s="24" t="s">
        <v>133</v>
      </c>
      <c r="C107" s="16">
        <v>5980000</v>
      </c>
      <c r="D107" s="14">
        <v>399441</v>
      </c>
      <c r="E107" s="12">
        <v>6379441</v>
      </c>
    </row>
    <row r="108" spans="2:5" x14ac:dyDescent="0.25">
      <c r="B108" s="23" t="s">
        <v>134</v>
      </c>
      <c r="C108" s="16">
        <v>6010000</v>
      </c>
      <c r="D108" s="14">
        <v>402063</v>
      </c>
      <c r="E108" s="12">
        <v>6412063</v>
      </c>
    </row>
    <row r="109" spans="2:5" x14ac:dyDescent="0.25">
      <c r="B109" s="24" t="s">
        <v>135</v>
      </c>
      <c r="C109" s="16">
        <v>5995000</v>
      </c>
      <c r="D109" s="14"/>
      <c r="E109" s="12">
        <v>5995000</v>
      </c>
    </row>
    <row r="110" spans="2:5" x14ac:dyDescent="0.25">
      <c r="B110" s="23" t="s">
        <v>136</v>
      </c>
      <c r="C110" s="16">
        <v>5985152</v>
      </c>
      <c r="D110" s="14"/>
      <c r="E110" s="12">
        <v>5985152</v>
      </c>
    </row>
    <row r="111" spans="2:5" x14ac:dyDescent="0.25">
      <c r="B111" s="24" t="s">
        <v>137</v>
      </c>
      <c r="C111" s="16">
        <v>5850094</v>
      </c>
      <c r="D111" s="14"/>
      <c r="E111" s="12">
        <v>5850094</v>
      </c>
    </row>
    <row r="112" spans="2:5" x14ac:dyDescent="0.25">
      <c r="B112" s="23" t="s">
        <v>138</v>
      </c>
      <c r="C112" s="16">
        <v>5946895</v>
      </c>
      <c r="D112" s="14">
        <v>408342</v>
      </c>
      <c r="E112" s="12">
        <v>6355237</v>
      </c>
    </row>
    <row r="113" spans="2:5" x14ac:dyDescent="0.25">
      <c r="B113" s="24" t="s">
        <v>139</v>
      </c>
      <c r="C113" s="16">
        <v>5902819</v>
      </c>
      <c r="D113" s="14">
        <v>408623</v>
      </c>
      <c r="E113" s="12">
        <v>6311442</v>
      </c>
    </row>
    <row r="114" spans="2:5" x14ac:dyDescent="0.25">
      <c r="B114" s="23" t="s">
        <v>140</v>
      </c>
      <c r="C114" s="16">
        <v>5867579</v>
      </c>
      <c r="D114" s="14">
        <v>408313</v>
      </c>
      <c r="E114" s="12">
        <v>6275892</v>
      </c>
    </row>
    <row r="115" spans="2:5" x14ac:dyDescent="0.25">
      <c r="B115" s="24" t="s">
        <v>141</v>
      </c>
      <c r="C115" s="16">
        <v>5840000</v>
      </c>
      <c r="D115" s="14">
        <v>409819</v>
      </c>
      <c r="E115" s="12">
        <v>6249819</v>
      </c>
    </row>
    <row r="116" spans="2:5" x14ac:dyDescent="0.25">
      <c r="B116" s="23" t="s">
        <v>142</v>
      </c>
      <c r="C116" s="16">
        <v>5917000</v>
      </c>
      <c r="D116" s="14">
        <v>412948</v>
      </c>
      <c r="E116" s="12">
        <v>6329948</v>
      </c>
    </row>
    <row r="117" spans="2:5" x14ac:dyDescent="0.25">
      <c r="B117" s="24" t="s">
        <v>143</v>
      </c>
      <c r="C117" s="16">
        <v>6118000</v>
      </c>
      <c r="D117" s="14"/>
      <c r="E117" s="12">
        <v>6118000</v>
      </c>
    </row>
    <row r="118" spans="2:5" x14ac:dyDescent="0.25">
      <c r="B118" s="23" t="s">
        <v>144</v>
      </c>
      <c r="C118" s="16">
        <v>6041642</v>
      </c>
      <c r="D118" s="14"/>
      <c r="E118" s="12">
        <v>6041642</v>
      </c>
    </row>
    <row r="119" spans="2:5" x14ac:dyDescent="0.25">
      <c r="B119" s="24" t="s">
        <v>145</v>
      </c>
      <c r="C119" s="16">
        <v>6119709</v>
      </c>
      <c r="D119" s="14">
        <v>413176</v>
      </c>
      <c r="E119" s="12">
        <v>6532885</v>
      </c>
    </row>
    <row r="120" spans="2:5" x14ac:dyDescent="0.25">
      <c r="B120" s="23" t="s">
        <v>146</v>
      </c>
      <c r="C120" s="16">
        <v>6388000</v>
      </c>
      <c r="D120" s="14">
        <v>414800</v>
      </c>
      <c r="E120" s="12">
        <v>6802800</v>
      </c>
    </row>
    <row r="121" spans="2:5" x14ac:dyDescent="0.25">
      <c r="B121" s="24" t="s">
        <v>147</v>
      </c>
      <c r="C121" s="16">
        <v>6490000</v>
      </c>
      <c r="D121" s="14">
        <v>415169</v>
      </c>
      <c r="E121" s="12">
        <v>6905169</v>
      </c>
    </row>
    <row r="122" spans="2:5" x14ac:dyDescent="0.25">
      <c r="B122" s="23" t="s">
        <v>148</v>
      </c>
      <c r="C122" s="16">
        <v>6385512</v>
      </c>
      <c r="D122" s="14">
        <v>417349</v>
      </c>
      <c r="E122" s="12">
        <v>6802861</v>
      </c>
    </row>
    <row r="123" spans="2:5" x14ac:dyDescent="0.25">
      <c r="B123" s="24" t="s">
        <v>149</v>
      </c>
      <c r="C123" s="16">
        <v>6299868</v>
      </c>
      <c r="D123" s="14">
        <v>419131</v>
      </c>
      <c r="E123" s="12">
        <v>6718999</v>
      </c>
    </row>
    <row r="124" spans="2:5" x14ac:dyDescent="0.25">
      <c r="B124" s="23" t="s">
        <v>150</v>
      </c>
      <c r="C124" s="16">
        <v>6254578</v>
      </c>
      <c r="D124" s="14"/>
      <c r="E124" s="12">
        <v>6254578</v>
      </c>
    </row>
    <row r="125" spans="2:5" x14ac:dyDescent="0.25">
      <c r="B125" s="24" t="s">
        <v>151</v>
      </c>
      <c r="C125" s="16">
        <v>5740404</v>
      </c>
      <c r="D125" s="14"/>
      <c r="E125" s="12">
        <v>5740404</v>
      </c>
    </row>
    <row r="126" spans="2:5" x14ac:dyDescent="0.25">
      <c r="B126" s="23" t="s">
        <v>152</v>
      </c>
      <c r="C126" s="16">
        <v>5762466</v>
      </c>
      <c r="D126" s="14">
        <v>418081</v>
      </c>
      <c r="E126" s="12">
        <v>6180547</v>
      </c>
    </row>
    <row r="127" spans="2:5" x14ac:dyDescent="0.25">
      <c r="B127" s="24" t="s">
        <v>153</v>
      </c>
      <c r="C127" s="16">
        <v>5714534</v>
      </c>
      <c r="D127" s="14">
        <v>415918</v>
      </c>
      <c r="E127" s="12">
        <v>6130452</v>
      </c>
    </row>
    <row r="128" spans="2:5" x14ac:dyDescent="0.25">
      <c r="B128" s="23" t="s">
        <v>154</v>
      </c>
      <c r="C128" s="16">
        <v>5637300</v>
      </c>
      <c r="D128" s="14">
        <v>417502</v>
      </c>
      <c r="E128" s="12">
        <v>6054802</v>
      </c>
    </row>
    <row r="129" spans="2:5" x14ac:dyDescent="0.25">
      <c r="B129" s="24" t="s">
        <v>155</v>
      </c>
      <c r="C129" s="16">
        <v>5549999</v>
      </c>
      <c r="D129" s="14">
        <v>417957</v>
      </c>
      <c r="E129" s="12">
        <v>5967956</v>
      </c>
    </row>
    <row r="130" spans="2:5" x14ac:dyDescent="0.25">
      <c r="B130" s="23" t="s">
        <v>156</v>
      </c>
      <c r="C130" s="16">
        <v>5138003</v>
      </c>
      <c r="D130" s="14">
        <v>419417</v>
      </c>
      <c r="E130" s="12">
        <v>5557420</v>
      </c>
    </row>
    <row r="131" spans="2:5" x14ac:dyDescent="0.25">
      <c r="B131" s="24" t="s">
        <v>157</v>
      </c>
      <c r="C131" s="16">
        <v>5115001</v>
      </c>
      <c r="D131" s="14"/>
      <c r="E131" s="12">
        <v>5115001</v>
      </c>
    </row>
    <row r="132" spans="2:5" x14ac:dyDescent="0.25">
      <c r="B132" s="23" t="s">
        <v>158</v>
      </c>
      <c r="C132" s="16">
        <v>5256777</v>
      </c>
      <c r="D132" s="14"/>
      <c r="E132" s="12">
        <v>5256777</v>
      </c>
    </row>
    <row r="133" spans="2:5" x14ac:dyDescent="0.25">
      <c r="B133" s="24" t="s">
        <v>159</v>
      </c>
      <c r="C133" s="16">
        <v>5441957</v>
      </c>
      <c r="D133" s="14">
        <v>419419</v>
      </c>
      <c r="E133" s="12">
        <v>5861376</v>
      </c>
    </row>
    <row r="134" spans="2:5" x14ac:dyDescent="0.25">
      <c r="B134" s="23" t="s">
        <v>160</v>
      </c>
      <c r="C134" s="16">
        <v>5580000</v>
      </c>
      <c r="D134" s="14">
        <v>419335</v>
      </c>
      <c r="E134" s="12">
        <v>5999335</v>
      </c>
    </row>
    <row r="135" spans="2:5" x14ac:dyDescent="0.25">
      <c r="B135" s="24" t="s">
        <v>161</v>
      </c>
      <c r="C135" s="16">
        <v>5647472</v>
      </c>
      <c r="D135" s="14">
        <v>420153</v>
      </c>
      <c r="E135" s="12">
        <v>6067625</v>
      </c>
    </row>
    <row r="136" spans="2:5" x14ac:dyDescent="0.25">
      <c r="B136" s="23" t="s">
        <v>162</v>
      </c>
      <c r="C136" s="16">
        <v>5475536</v>
      </c>
      <c r="D136" s="14">
        <v>421878</v>
      </c>
      <c r="E136" s="12">
        <v>5897414</v>
      </c>
    </row>
    <row r="137" spans="2:5" x14ac:dyDescent="0.25">
      <c r="B137" s="24" t="s">
        <v>163</v>
      </c>
      <c r="C137" s="16">
        <v>5855371</v>
      </c>
      <c r="D137" s="14">
        <v>419810</v>
      </c>
      <c r="E137" s="12">
        <v>6275181</v>
      </c>
    </row>
    <row r="138" spans="2:5" x14ac:dyDescent="0.25">
      <c r="B138" s="23" t="s">
        <v>164</v>
      </c>
      <c r="C138" s="16">
        <v>5829335</v>
      </c>
      <c r="D138" s="14"/>
      <c r="E138" s="12">
        <v>5829335</v>
      </c>
    </row>
    <row r="139" spans="2:5" x14ac:dyDescent="0.25">
      <c r="B139" s="24" t="s">
        <v>165</v>
      </c>
      <c r="C139" s="16">
        <v>5898852</v>
      </c>
      <c r="D139" s="14">
        <v>420939</v>
      </c>
      <c r="E139" s="12">
        <v>6319791</v>
      </c>
    </row>
    <row r="140" spans="2:5" x14ac:dyDescent="0.25">
      <c r="B140" s="23" t="s">
        <v>166</v>
      </c>
      <c r="C140" s="16">
        <v>5665950</v>
      </c>
      <c r="D140" s="14">
        <v>417904</v>
      </c>
      <c r="E140" s="12">
        <v>6083854</v>
      </c>
    </row>
    <row r="141" spans="2:5" x14ac:dyDescent="0.25">
      <c r="B141" s="24" t="s">
        <v>167</v>
      </c>
      <c r="C141" s="16">
        <v>5797407</v>
      </c>
      <c r="D141" s="14">
        <v>418772</v>
      </c>
      <c r="E141" s="12">
        <v>6216179</v>
      </c>
    </row>
    <row r="142" spans="2:5" x14ac:dyDescent="0.25">
      <c r="B142" s="23" t="s">
        <v>168</v>
      </c>
      <c r="C142" s="16">
        <v>5846593</v>
      </c>
      <c r="D142" s="14">
        <v>420270</v>
      </c>
      <c r="E142" s="12">
        <v>6266863</v>
      </c>
    </row>
    <row r="143" spans="2:5" x14ac:dyDescent="0.25">
      <c r="B143" s="24" t="s">
        <v>169</v>
      </c>
      <c r="C143" s="16">
        <v>5875000</v>
      </c>
      <c r="D143" s="14">
        <v>423804</v>
      </c>
      <c r="E143" s="12">
        <v>6298804</v>
      </c>
    </row>
    <row r="144" spans="2:5" x14ac:dyDescent="0.25">
      <c r="B144" s="23" t="s">
        <v>170</v>
      </c>
      <c r="C144" s="16">
        <v>5956000</v>
      </c>
      <c r="D144" s="14"/>
      <c r="E144" s="12">
        <v>5956000</v>
      </c>
    </row>
    <row r="145" spans="2:5" x14ac:dyDescent="0.25">
      <c r="B145" s="24" t="s">
        <v>171</v>
      </c>
      <c r="C145" s="16">
        <v>5948134</v>
      </c>
      <c r="D145" s="14"/>
      <c r="E145" s="12">
        <v>5948134</v>
      </c>
    </row>
    <row r="146" spans="2:5" x14ac:dyDescent="0.25">
      <c r="B146" s="23" t="s">
        <v>172</v>
      </c>
      <c r="C146" s="16">
        <v>5958499</v>
      </c>
      <c r="D146" s="14">
        <v>423639</v>
      </c>
      <c r="E146" s="12">
        <v>6382138</v>
      </c>
    </row>
    <row r="147" spans="2:5" x14ac:dyDescent="0.25">
      <c r="B147" s="24" t="s">
        <v>173</v>
      </c>
      <c r="C147" s="16">
        <v>5789800</v>
      </c>
      <c r="D147" s="14">
        <v>416204</v>
      </c>
      <c r="E147" s="12">
        <v>6206004</v>
      </c>
    </row>
    <row r="148" spans="2:5" x14ac:dyDescent="0.25">
      <c r="B148" s="23" t="s">
        <v>174</v>
      </c>
      <c r="C148" s="16">
        <v>5799826</v>
      </c>
      <c r="D148" s="14">
        <v>413473</v>
      </c>
      <c r="E148" s="12">
        <v>6213299</v>
      </c>
    </row>
    <row r="149" spans="2:5" x14ac:dyDescent="0.25">
      <c r="B149" s="24" t="s">
        <v>175</v>
      </c>
      <c r="C149" s="16">
        <v>5138995</v>
      </c>
      <c r="D149" s="14">
        <v>413158</v>
      </c>
      <c r="E149" s="12">
        <v>5552153</v>
      </c>
    </row>
    <row r="150" spans="2:5" x14ac:dyDescent="0.25">
      <c r="B150" s="23" t="s">
        <v>176</v>
      </c>
      <c r="C150" s="16">
        <v>5157516</v>
      </c>
      <c r="D150" s="14">
        <v>418313</v>
      </c>
      <c r="E150" s="12">
        <v>5575829</v>
      </c>
    </row>
    <row r="151" spans="2:5" x14ac:dyDescent="0.25">
      <c r="B151" s="24" t="s">
        <v>177</v>
      </c>
      <c r="C151" s="16">
        <v>4990000</v>
      </c>
      <c r="D151" s="14"/>
      <c r="E151" s="12">
        <v>4990000</v>
      </c>
    </row>
    <row r="152" spans="2:5" x14ac:dyDescent="0.25">
      <c r="B152" s="23" t="s">
        <v>178</v>
      </c>
      <c r="C152" s="16">
        <v>4979000</v>
      </c>
      <c r="D152" s="14"/>
      <c r="E152" s="12">
        <v>4979000</v>
      </c>
    </row>
    <row r="153" spans="2:5" x14ac:dyDescent="0.25">
      <c r="B153" s="24" t="s">
        <v>179</v>
      </c>
      <c r="C153" s="16">
        <v>4583348</v>
      </c>
      <c r="D153" s="14">
        <v>417192</v>
      </c>
      <c r="E153" s="12">
        <v>5000540</v>
      </c>
    </row>
    <row r="154" spans="2:5" x14ac:dyDescent="0.25">
      <c r="B154" s="23" t="s">
        <v>180</v>
      </c>
      <c r="C154" s="16">
        <v>4586017</v>
      </c>
      <c r="D154" s="14">
        <v>416915</v>
      </c>
      <c r="E154" s="12">
        <v>5002932</v>
      </c>
    </row>
    <row r="155" spans="2:5" x14ac:dyDescent="0.25">
      <c r="B155" s="24" t="s">
        <v>181</v>
      </c>
      <c r="C155" s="16">
        <v>4086740</v>
      </c>
      <c r="D155" s="14">
        <v>411693</v>
      </c>
      <c r="E155" s="12">
        <v>4498433</v>
      </c>
    </row>
    <row r="156" spans="2:5" x14ac:dyDescent="0.25">
      <c r="B156" s="23" t="s">
        <v>182</v>
      </c>
      <c r="C156" s="16">
        <v>4262543</v>
      </c>
      <c r="D156" s="14">
        <v>417280</v>
      </c>
      <c r="E156" s="12">
        <v>4679823</v>
      </c>
    </row>
    <row r="157" spans="2:5" x14ac:dyDescent="0.25">
      <c r="B157" s="24" t="s">
        <v>183</v>
      </c>
      <c r="C157" s="16">
        <v>4179674</v>
      </c>
      <c r="D157" s="14">
        <v>418872</v>
      </c>
      <c r="E157" s="12">
        <v>4598546</v>
      </c>
    </row>
    <row r="158" spans="2:5" x14ac:dyDescent="0.25">
      <c r="B158" s="23" t="s">
        <v>184</v>
      </c>
      <c r="C158" s="16">
        <v>3886115</v>
      </c>
      <c r="D158" s="14"/>
      <c r="E158" s="12">
        <v>3886115</v>
      </c>
    </row>
    <row r="159" spans="2:5" x14ac:dyDescent="0.25">
      <c r="B159" s="24" t="s">
        <v>185</v>
      </c>
      <c r="C159" s="16">
        <v>3748418</v>
      </c>
      <c r="D159" s="14"/>
      <c r="E159" s="12">
        <v>3748418</v>
      </c>
    </row>
    <row r="160" spans="2:5" x14ac:dyDescent="0.25">
      <c r="B160" s="23" t="s">
        <v>186</v>
      </c>
      <c r="C160" s="16">
        <v>3995365</v>
      </c>
      <c r="D160" s="14">
        <v>420952</v>
      </c>
      <c r="E160" s="12">
        <v>4416317</v>
      </c>
    </row>
    <row r="161" spans="2:5" x14ac:dyDescent="0.25">
      <c r="B161" s="24" t="s">
        <v>187</v>
      </c>
      <c r="C161" s="16">
        <v>3976096</v>
      </c>
      <c r="D161" s="14">
        <v>421342</v>
      </c>
      <c r="E161" s="12">
        <v>4397438</v>
      </c>
    </row>
    <row r="162" spans="2:5" x14ac:dyDescent="0.25">
      <c r="B162" s="23" t="s">
        <v>188</v>
      </c>
      <c r="C162" s="16">
        <v>4086120</v>
      </c>
      <c r="D162" s="14">
        <v>420261</v>
      </c>
      <c r="E162" s="12">
        <v>4506381</v>
      </c>
    </row>
    <row r="163" spans="2:5" x14ac:dyDescent="0.25">
      <c r="B163" s="24" t="s">
        <v>189</v>
      </c>
      <c r="C163" s="16">
        <v>4043240</v>
      </c>
      <c r="D163" s="14">
        <v>421338</v>
      </c>
      <c r="E163" s="12">
        <v>4464578</v>
      </c>
    </row>
    <row r="164" spans="2:5" x14ac:dyDescent="0.25">
      <c r="B164" s="23" t="s">
        <v>190</v>
      </c>
      <c r="C164" s="16">
        <v>3827159</v>
      </c>
      <c r="D164" s="14">
        <v>421836</v>
      </c>
      <c r="E164" s="12">
        <v>4248995</v>
      </c>
    </row>
    <row r="165" spans="2:5" x14ac:dyDescent="0.25">
      <c r="B165" s="24" t="s">
        <v>191</v>
      </c>
      <c r="C165" s="16">
        <v>3732000</v>
      </c>
      <c r="D165" s="14"/>
      <c r="E165" s="12">
        <v>3732000</v>
      </c>
    </row>
    <row r="166" spans="2:5" x14ac:dyDescent="0.25">
      <c r="B166" s="23" t="s">
        <v>192</v>
      </c>
      <c r="C166" s="16">
        <v>3652324</v>
      </c>
      <c r="D166" s="14"/>
      <c r="E166" s="12">
        <v>3652324</v>
      </c>
    </row>
    <row r="167" spans="2:5" x14ac:dyDescent="0.25">
      <c r="B167" s="24" t="s">
        <v>193</v>
      </c>
      <c r="C167" s="16">
        <v>3791287</v>
      </c>
      <c r="D167" s="14"/>
      <c r="E167" s="12">
        <v>3791287</v>
      </c>
    </row>
    <row r="168" spans="2:5" x14ac:dyDescent="0.25">
      <c r="B168" s="23" t="s">
        <v>194</v>
      </c>
      <c r="C168" s="16">
        <v>3744802</v>
      </c>
      <c r="D168" s="14">
        <v>423412</v>
      </c>
      <c r="E168" s="12">
        <v>4168214</v>
      </c>
    </row>
    <row r="169" spans="2:5" x14ac:dyDescent="0.25">
      <c r="B169" s="24" t="s">
        <v>195</v>
      </c>
      <c r="C169" s="16">
        <v>3825640</v>
      </c>
      <c r="D169" s="14">
        <v>421737</v>
      </c>
      <c r="E169" s="12">
        <v>4247377</v>
      </c>
    </row>
    <row r="170" spans="2:5" x14ac:dyDescent="0.25">
      <c r="B170" s="23" t="s">
        <v>196</v>
      </c>
      <c r="C170" s="16">
        <v>3948791</v>
      </c>
      <c r="D170" s="14">
        <v>420439</v>
      </c>
      <c r="E170" s="12">
        <v>4369230</v>
      </c>
    </row>
    <row r="171" spans="2:5" x14ac:dyDescent="0.25">
      <c r="B171" s="24" t="s">
        <v>197</v>
      </c>
      <c r="C171" s="16">
        <v>3796361</v>
      </c>
      <c r="D171" s="14">
        <v>423345</v>
      </c>
      <c r="E171" s="12">
        <v>4219706</v>
      </c>
    </row>
    <row r="172" spans="2:5" x14ac:dyDescent="0.25">
      <c r="B172" s="23" t="s">
        <v>198</v>
      </c>
      <c r="C172" s="16">
        <v>3791857</v>
      </c>
      <c r="D172" s="14"/>
      <c r="E172" s="12">
        <v>3791857</v>
      </c>
    </row>
    <row r="173" spans="2:5" x14ac:dyDescent="0.25">
      <c r="B173" s="24" t="s">
        <v>199</v>
      </c>
      <c r="C173" s="16">
        <v>3681209</v>
      </c>
      <c r="D173" s="14"/>
      <c r="E173" s="12">
        <v>3681209</v>
      </c>
    </row>
    <row r="174" spans="2:5" x14ac:dyDescent="0.25">
      <c r="B174" s="23" t="s">
        <v>200</v>
      </c>
      <c r="C174" s="16">
        <v>3679803</v>
      </c>
      <c r="D174" s="14">
        <v>423234</v>
      </c>
      <c r="E174" s="12">
        <v>4103037</v>
      </c>
    </row>
    <row r="175" spans="2:5" x14ac:dyDescent="0.25">
      <c r="B175" s="24" t="s">
        <v>201</v>
      </c>
      <c r="C175" s="16">
        <v>3384146</v>
      </c>
      <c r="D175" s="14">
        <v>423674</v>
      </c>
      <c r="E175" s="12">
        <v>3807820</v>
      </c>
    </row>
    <row r="176" spans="2:5" x14ac:dyDescent="0.25">
      <c r="B176" s="23" t="s">
        <v>202</v>
      </c>
      <c r="C176" s="16">
        <v>3767660</v>
      </c>
      <c r="D176" s="14">
        <v>423709</v>
      </c>
      <c r="E176" s="12">
        <v>4191369</v>
      </c>
    </row>
    <row r="177" spans="2:5" x14ac:dyDescent="0.25">
      <c r="B177" s="24" t="s">
        <v>203</v>
      </c>
      <c r="C177" s="16">
        <v>3843702</v>
      </c>
      <c r="D177" s="14">
        <v>424974</v>
      </c>
      <c r="E177" s="12">
        <v>4268676</v>
      </c>
    </row>
    <row r="178" spans="2:5" x14ac:dyDescent="0.25">
      <c r="B178" s="23" t="s">
        <v>204</v>
      </c>
      <c r="C178" s="16">
        <v>3769000</v>
      </c>
      <c r="D178" s="14">
        <v>424838</v>
      </c>
      <c r="E178" s="12">
        <v>4193838</v>
      </c>
    </row>
    <row r="179" spans="2:5" x14ac:dyDescent="0.25">
      <c r="B179" s="24" t="s">
        <v>205</v>
      </c>
      <c r="C179" s="16">
        <v>3622280</v>
      </c>
      <c r="D179" s="14"/>
      <c r="E179" s="12">
        <v>3622280</v>
      </c>
    </row>
    <row r="180" spans="2:5" x14ac:dyDescent="0.25">
      <c r="B180" s="23" t="s">
        <v>206</v>
      </c>
      <c r="C180" s="16">
        <v>3981672</v>
      </c>
      <c r="D180" s="14"/>
      <c r="E180" s="12">
        <v>3981672</v>
      </c>
    </row>
    <row r="181" spans="2:5" x14ac:dyDescent="0.25">
      <c r="B181" s="24" t="s">
        <v>207</v>
      </c>
      <c r="C181" s="16">
        <v>4106077</v>
      </c>
      <c r="D181" s="14">
        <v>425559</v>
      </c>
      <c r="E181" s="12">
        <v>4531636</v>
      </c>
    </row>
    <row r="182" spans="2:5" x14ac:dyDescent="0.25">
      <c r="B182" s="23" t="s">
        <v>208</v>
      </c>
      <c r="C182" s="16">
        <v>4138002</v>
      </c>
      <c r="D182" s="14">
        <v>425716</v>
      </c>
      <c r="E182" s="12">
        <v>4563718</v>
      </c>
    </row>
    <row r="183" spans="2:5" x14ac:dyDescent="0.25">
      <c r="B183" s="24" t="s">
        <v>209</v>
      </c>
      <c r="C183" s="16">
        <v>4049002</v>
      </c>
      <c r="D183" s="14">
        <v>425189</v>
      </c>
      <c r="E183" s="12">
        <v>4474191</v>
      </c>
    </row>
    <row r="184" spans="2:5" x14ac:dyDescent="0.25">
      <c r="B184" s="23" t="s">
        <v>210</v>
      </c>
      <c r="C184" s="16">
        <v>3957503</v>
      </c>
      <c r="D184" s="14">
        <v>423229</v>
      </c>
      <c r="E184" s="12">
        <v>4380732</v>
      </c>
    </row>
    <row r="185" spans="2:5" x14ac:dyDescent="0.25">
      <c r="B185" s="24" t="s">
        <v>211</v>
      </c>
      <c r="C185" s="16">
        <v>3812909</v>
      </c>
      <c r="D185" s="14">
        <v>420478</v>
      </c>
      <c r="E185" s="12">
        <v>4233387</v>
      </c>
    </row>
    <row r="186" spans="2:5" x14ac:dyDescent="0.25">
      <c r="B186" s="23" t="s">
        <v>212</v>
      </c>
      <c r="C186" s="16">
        <v>3646463</v>
      </c>
      <c r="D186" s="14"/>
      <c r="E186" s="12">
        <v>3646463</v>
      </c>
    </row>
    <row r="187" spans="2:5" x14ac:dyDescent="0.25">
      <c r="B187" s="24" t="s">
        <v>213</v>
      </c>
      <c r="C187" s="16">
        <v>3612813</v>
      </c>
      <c r="D187" s="14"/>
      <c r="E187" s="12">
        <v>3612813</v>
      </c>
    </row>
    <row r="188" spans="2:5" x14ac:dyDescent="0.25">
      <c r="B188" s="23" t="s">
        <v>214</v>
      </c>
      <c r="C188" s="16">
        <v>3470268</v>
      </c>
      <c r="D188" s="14">
        <v>422624</v>
      </c>
      <c r="E188" s="12">
        <v>3892892</v>
      </c>
    </row>
    <row r="189" spans="2:5" x14ac:dyDescent="0.25">
      <c r="B189" s="24" t="s">
        <v>215</v>
      </c>
      <c r="C189" s="16">
        <v>3439205</v>
      </c>
      <c r="D189" s="14">
        <v>425584</v>
      </c>
      <c r="E189" s="12">
        <v>3864789</v>
      </c>
    </row>
    <row r="190" spans="2:5" x14ac:dyDescent="0.25">
      <c r="B190" s="23" t="s">
        <v>216</v>
      </c>
      <c r="C190" s="16">
        <v>3485120</v>
      </c>
      <c r="D190" s="14">
        <v>425660</v>
      </c>
      <c r="E190" s="12">
        <v>3910780</v>
      </c>
    </row>
    <row r="191" spans="2:5" x14ac:dyDescent="0.25">
      <c r="B191" s="24" t="s">
        <v>217</v>
      </c>
      <c r="C191" s="16">
        <v>3527490</v>
      </c>
      <c r="D191" s="14">
        <v>427128</v>
      </c>
      <c r="E191" s="12">
        <v>3954618</v>
      </c>
    </row>
    <row r="192" spans="2:5" x14ac:dyDescent="0.25">
      <c r="B192" s="23" t="s">
        <v>218</v>
      </c>
      <c r="C192" s="16">
        <v>3510000</v>
      </c>
      <c r="D192" s="14">
        <v>428612</v>
      </c>
      <c r="E192" s="12">
        <v>3938612</v>
      </c>
    </row>
    <row r="193" spans="2:5" x14ac:dyDescent="0.25">
      <c r="B193" s="24" t="s">
        <v>219</v>
      </c>
      <c r="C193" s="16">
        <v>3320959</v>
      </c>
      <c r="D193" s="14"/>
      <c r="E193" s="12">
        <v>3320959</v>
      </c>
    </row>
    <row r="194" spans="2:5" x14ac:dyDescent="0.25">
      <c r="B194" s="23" t="s">
        <v>220</v>
      </c>
      <c r="C194" s="16">
        <v>3498342</v>
      </c>
      <c r="D194" s="14"/>
      <c r="E194" s="12">
        <v>3498342</v>
      </c>
    </row>
    <row r="195" spans="2:5" x14ac:dyDescent="0.25">
      <c r="B195" s="24" t="s">
        <v>221</v>
      </c>
      <c r="C195" s="16">
        <v>3528603</v>
      </c>
      <c r="D195" s="14">
        <v>429214</v>
      </c>
      <c r="E195" s="12">
        <v>3957817</v>
      </c>
    </row>
    <row r="196" spans="2:5" x14ac:dyDescent="0.25">
      <c r="B196" s="23" t="s">
        <v>222</v>
      </c>
      <c r="C196" s="16">
        <v>3666180</v>
      </c>
      <c r="D196" s="14">
        <v>430052</v>
      </c>
      <c r="E196" s="12">
        <v>4096232</v>
      </c>
    </row>
    <row r="197" spans="2:5" x14ac:dyDescent="0.25">
      <c r="B197" s="24" t="s">
        <v>223</v>
      </c>
      <c r="C197" s="16">
        <v>3533325</v>
      </c>
      <c r="D197" s="14">
        <v>430243</v>
      </c>
      <c r="E197" s="12">
        <v>3963568</v>
      </c>
    </row>
    <row r="198" spans="2:5" x14ac:dyDescent="0.25">
      <c r="B198" s="23" t="s">
        <v>224</v>
      </c>
      <c r="C198" s="16">
        <v>3447555</v>
      </c>
      <c r="D198" s="14">
        <v>432066</v>
      </c>
      <c r="E198" s="12">
        <v>3879621</v>
      </c>
    </row>
    <row r="199" spans="2:5" x14ac:dyDescent="0.25">
      <c r="B199" s="24" t="s">
        <v>225</v>
      </c>
      <c r="C199" s="16">
        <v>3392645</v>
      </c>
      <c r="D199" s="14">
        <v>435543</v>
      </c>
      <c r="E199" s="12">
        <v>3828188</v>
      </c>
    </row>
    <row r="200" spans="2:5" x14ac:dyDescent="0.25">
      <c r="B200" s="23" t="s">
        <v>226</v>
      </c>
      <c r="C200" s="16">
        <v>3494256</v>
      </c>
      <c r="D200" s="14"/>
      <c r="E200" s="12">
        <v>3494256</v>
      </c>
    </row>
    <row r="201" spans="2:5" x14ac:dyDescent="0.25">
      <c r="B201" s="24" t="s">
        <v>227</v>
      </c>
      <c r="C201" s="16">
        <v>3598571</v>
      </c>
      <c r="D201" s="14"/>
      <c r="E201" s="12">
        <v>3598571</v>
      </c>
    </row>
    <row r="202" spans="2:5" x14ac:dyDescent="0.25">
      <c r="B202" s="23" t="s">
        <v>228</v>
      </c>
      <c r="C202" s="16">
        <v>3455972</v>
      </c>
      <c r="D202" s="14"/>
      <c r="E202" s="12">
        <v>3455972</v>
      </c>
    </row>
    <row r="203" spans="2:5" x14ac:dyDescent="0.25">
      <c r="B203" s="24" t="s">
        <v>229</v>
      </c>
      <c r="C203" s="16">
        <v>3511432</v>
      </c>
      <c r="D203" s="14">
        <v>435646</v>
      </c>
      <c r="E203" s="12">
        <v>3947078</v>
      </c>
    </row>
    <row r="204" spans="2:5" x14ac:dyDescent="0.25">
      <c r="B204" s="23" t="s">
        <v>230</v>
      </c>
      <c r="C204" s="16">
        <v>3509828</v>
      </c>
      <c r="D204" s="14">
        <v>436188</v>
      </c>
      <c r="E204" s="12">
        <v>3946016</v>
      </c>
    </row>
    <row r="205" spans="2:5" x14ac:dyDescent="0.25">
      <c r="B205" s="24" t="s">
        <v>231</v>
      </c>
      <c r="C205" s="16">
        <v>3349324</v>
      </c>
      <c r="D205" s="14">
        <v>433088</v>
      </c>
      <c r="E205" s="12">
        <v>3782412</v>
      </c>
    </row>
    <row r="206" spans="2:5" x14ac:dyDescent="0.25">
      <c r="B206" s="23" t="s">
        <v>232</v>
      </c>
      <c r="C206" s="16">
        <v>3426253</v>
      </c>
      <c r="D206" s="14">
        <v>437160</v>
      </c>
      <c r="E206" s="12">
        <v>3863413</v>
      </c>
    </row>
    <row r="207" spans="2:5" x14ac:dyDescent="0.25">
      <c r="B207" s="24" t="s">
        <v>233</v>
      </c>
      <c r="C207" s="16">
        <v>3419526</v>
      </c>
      <c r="D207" s="14"/>
      <c r="E207" s="12">
        <v>3419526</v>
      </c>
    </row>
    <row r="208" spans="2:5" x14ac:dyDescent="0.25">
      <c r="B208" s="23" t="s">
        <v>234</v>
      </c>
      <c r="C208" s="16">
        <v>3460200</v>
      </c>
      <c r="D208" s="14"/>
      <c r="E208" s="12">
        <v>3460200</v>
      </c>
    </row>
    <row r="209" spans="2:5" x14ac:dyDescent="0.25">
      <c r="B209" s="24" t="s">
        <v>235</v>
      </c>
      <c r="C209" s="16">
        <v>3467021</v>
      </c>
      <c r="D209" s="14">
        <v>438668</v>
      </c>
      <c r="E209" s="12">
        <v>3905689</v>
      </c>
    </row>
    <row r="210" spans="2:5" x14ac:dyDescent="0.25">
      <c r="B210" s="23" t="s">
        <v>236</v>
      </c>
      <c r="C210" s="16">
        <v>3333471</v>
      </c>
      <c r="D210" s="14">
        <v>439237</v>
      </c>
      <c r="E210" s="12">
        <v>3772708</v>
      </c>
    </row>
    <row r="211" spans="2:5" x14ac:dyDescent="0.25">
      <c r="B211" s="24" t="s">
        <v>237</v>
      </c>
      <c r="C211" s="16">
        <v>3318999</v>
      </c>
      <c r="D211" s="14">
        <v>439368</v>
      </c>
      <c r="E211" s="12">
        <v>3758367</v>
      </c>
    </row>
    <row r="212" spans="2:5" x14ac:dyDescent="0.25">
      <c r="B212" s="23" t="s">
        <v>238</v>
      </c>
      <c r="C212" s="16">
        <v>3269172</v>
      </c>
      <c r="D212" s="14">
        <v>436902</v>
      </c>
      <c r="E212" s="12">
        <v>3706074</v>
      </c>
    </row>
    <row r="213" spans="2:5" x14ac:dyDescent="0.25">
      <c r="B213" s="24" t="s">
        <v>239</v>
      </c>
      <c r="C213" s="16">
        <v>3225221</v>
      </c>
      <c r="D213" s="14">
        <v>437509</v>
      </c>
      <c r="E213" s="12">
        <v>3662730</v>
      </c>
    </row>
    <row r="214" spans="2:5" x14ac:dyDescent="0.25">
      <c r="B214" s="23" t="s">
        <v>240</v>
      </c>
      <c r="C214" s="16">
        <v>3243707</v>
      </c>
      <c r="D214" s="14"/>
      <c r="E214" s="12">
        <v>3243707</v>
      </c>
    </row>
    <row r="215" spans="2:5" x14ac:dyDescent="0.25">
      <c r="B215" s="24" t="s">
        <v>241</v>
      </c>
      <c r="C215" s="16">
        <v>3220055</v>
      </c>
      <c r="D215" s="14"/>
      <c r="E215" s="12">
        <v>3220055</v>
      </c>
    </row>
    <row r="216" spans="2:5" x14ac:dyDescent="0.25">
      <c r="B216" s="23" t="s">
        <v>242</v>
      </c>
      <c r="C216" s="16">
        <v>3189059</v>
      </c>
      <c r="D216" s="14">
        <v>429640</v>
      </c>
      <c r="E216" s="12">
        <v>3618699</v>
      </c>
    </row>
    <row r="217" spans="2:5" x14ac:dyDescent="0.25">
      <c r="B217" s="24" t="s">
        <v>243</v>
      </c>
      <c r="C217" s="16">
        <v>3000572</v>
      </c>
      <c r="D217" s="14">
        <v>433684</v>
      </c>
      <c r="E217" s="12">
        <v>3434256</v>
      </c>
    </row>
    <row r="218" spans="2:5" x14ac:dyDescent="0.25">
      <c r="B218" s="23" t="s">
        <v>244</v>
      </c>
      <c r="C218" s="16">
        <v>3295000</v>
      </c>
      <c r="D218" s="14">
        <v>435970</v>
      </c>
      <c r="E218" s="12">
        <v>3730970</v>
      </c>
    </row>
    <row r="219" spans="2:5" x14ac:dyDescent="0.25">
      <c r="B219" s="24" t="s">
        <v>245</v>
      </c>
      <c r="C219" s="16">
        <v>3280646</v>
      </c>
      <c r="D219" s="14">
        <v>436987</v>
      </c>
      <c r="E219" s="12">
        <v>3717633</v>
      </c>
    </row>
    <row r="220" spans="2:5" x14ac:dyDescent="0.25">
      <c r="B220" s="23" t="s">
        <v>246</v>
      </c>
      <c r="C220" s="16">
        <v>3380000</v>
      </c>
      <c r="D220" s="14">
        <v>441518</v>
      </c>
      <c r="E220" s="12">
        <v>3821518</v>
      </c>
    </row>
    <row r="221" spans="2:5" x14ac:dyDescent="0.25">
      <c r="B221" s="24" t="s">
        <v>247</v>
      </c>
      <c r="C221" s="16">
        <v>3452550</v>
      </c>
      <c r="D221" s="14"/>
      <c r="E221" s="12">
        <v>3452550</v>
      </c>
    </row>
    <row r="222" spans="2:5" x14ac:dyDescent="0.25">
      <c r="B222" s="23" t="s">
        <v>248</v>
      </c>
      <c r="C222" s="16">
        <v>3978293</v>
      </c>
      <c r="D222" s="14"/>
      <c r="E222" s="12">
        <v>3978293</v>
      </c>
    </row>
    <row r="223" spans="2:5" x14ac:dyDescent="0.25">
      <c r="B223" s="24" t="s">
        <v>249</v>
      </c>
      <c r="C223" s="16">
        <v>4057245</v>
      </c>
      <c r="D223" s="14">
        <v>442273</v>
      </c>
      <c r="E223" s="12">
        <v>4499518</v>
      </c>
    </row>
    <row r="224" spans="2:5" x14ac:dyDescent="0.25">
      <c r="B224" s="23" t="s">
        <v>250</v>
      </c>
      <c r="C224" s="16">
        <v>4036657</v>
      </c>
      <c r="D224" s="14">
        <v>441638</v>
      </c>
      <c r="E224" s="12">
        <v>4478295</v>
      </c>
    </row>
    <row r="225" spans="2:5" x14ac:dyDescent="0.25">
      <c r="B225" s="24" t="s">
        <v>251</v>
      </c>
      <c r="C225" s="16">
        <v>4092846</v>
      </c>
      <c r="D225" s="14">
        <v>441547</v>
      </c>
      <c r="E225" s="12">
        <v>4534393</v>
      </c>
    </row>
    <row r="226" spans="2:5" x14ac:dyDescent="0.25">
      <c r="B226" s="23" t="s">
        <v>252</v>
      </c>
      <c r="C226" s="16">
        <v>4063914</v>
      </c>
      <c r="D226" s="14">
        <v>442997</v>
      </c>
      <c r="E226" s="12">
        <v>4506911</v>
      </c>
    </row>
    <row r="227" spans="2:5" x14ac:dyDescent="0.25">
      <c r="B227" s="24" t="s">
        <v>253</v>
      </c>
      <c r="C227" s="16">
        <v>4240000</v>
      </c>
      <c r="D227" s="14">
        <v>441225</v>
      </c>
      <c r="E227" s="12">
        <v>4681225</v>
      </c>
    </row>
    <row r="228" spans="2:5" x14ac:dyDescent="0.25">
      <c r="B228" s="23" t="s">
        <v>254</v>
      </c>
      <c r="C228" s="16">
        <v>4260000</v>
      </c>
      <c r="D228" s="14"/>
      <c r="E228" s="12">
        <v>4260000</v>
      </c>
    </row>
    <row r="229" spans="2:5" x14ac:dyDescent="0.25">
      <c r="B229" s="24" t="s">
        <v>255</v>
      </c>
      <c r="C229" s="16">
        <v>4247528</v>
      </c>
      <c r="D229" s="14"/>
      <c r="E229" s="12">
        <v>4247528</v>
      </c>
    </row>
    <row r="230" spans="2:5" x14ac:dyDescent="0.25">
      <c r="B230" s="23" t="s">
        <v>256</v>
      </c>
      <c r="C230" s="16">
        <v>4044658</v>
      </c>
      <c r="D230" s="14">
        <v>442218</v>
      </c>
      <c r="E230" s="12">
        <v>4486876</v>
      </c>
    </row>
    <row r="231" spans="2:5" x14ac:dyDescent="0.25">
      <c r="B231" s="24" t="s">
        <v>257</v>
      </c>
      <c r="C231" s="16">
        <v>3882481</v>
      </c>
      <c r="D231" s="14">
        <v>442379</v>
      </c>
      <c r="E231" s="12">
        <v>4324860</v>
      </c>
    </row>
    <row r="232" spans="2:5" x14ac:dyDescent="0.25">
      <c r="B232" s="23" t="s">
        <v>258</v>
      </c>
      <c r="C232" s="16">
        <v>3997396</v>
      </c>
      <c r="D232" s="14">
        <v>441617</v>
      </c>
      <c r="E232" s="12">
        <v>4439013</v>
      </c>
    </row>
    <row r="233" spans="2:5" x14ac:dyDescent="0.25">
      <c r="B233" s="24" t="s">
        <v>259</v>
      </c>
      <c r="C233" s="16">
        <v>4143118</v>
      </c>
      <c r="D233" s="14">
        <v>442976</v>
      </c>
      <c r="E233" s="12">
        <v>4586094</v>
      </c>
    </row>
    <row r="234" spans="2:5" x14ac:dyDescent="0.25">
      <c r="B234" s="23" t="s">
        <v>260</v>
      </c>
      <c r="C234" s="16">
        <v>4379242</v>
      </c>
      <c r="D234" s="14">
        <v>444082</v>
      </c>
      <c r="E234" s="12">
        <v>4823324</v>
      </c>
    </row>
    <row r="235" spans="2:5" x14ac:dyDescent="0.25">
      <c r="B235" s="24" t="s">
        <v>261</v>
      </c>
      <c r="C235" s="16">
        <v>4483759</v>
      </c>
      <c r="D235" s="14"/>
      <c r="E235" s="12">
        <v>4483759</v>
      </c>
    </row>
    <row r="236" spans="2:5" x14ac:dyDescent="0.25">
      <c r="B236" s="23" t="s">
        <v>262</v>
      </c>
      <c r="C236" s="16">
        <v>4538681</v>
      </c>
      <c r="D236" s="14"/>
      <c r="E236" s="12">
        <v>4538681</v>
      </c>
    </row>
    <row r="237" spans="2:5" x14ac:dyDescent="0.25">
      <c r="B237" s="24" t="s">
        <v>263</v>
      </c>
      <c r="C237" s="16">
        <v>4672986</v>
      </c>
      <c r="D237" s="14">
        <v>443939</v>
      </c>
      <c r="E237" s="12">
        <v>5116925</v>
      </c>
    </row>
    <row r="238" spans="2:5" x14ac:dyDescent="0.25">
      <c r="B238" s="23" t="s">
        <v>264</v>
      </c>
      <c r="C238" s="16">
        <v>4618347</v>
      </c>
      <c r="D238" s="14">
        <v>444521</v>
      </c>
      <c r="E238" s="12">
        <v>5062868</v>
      </c>
    </row>
    <row r="239" spans="2:5" x14ac:dyDescent="0.25">
      <c r="B239" s="24" t="s">
        <v>265</v>
      </c>
      <c r="C239" s="16">
        <v>4677500</v>
      </c>
      <c r="D239" s="14">
        <v>444944</v>
      </c>
      <c r="E239" s="12">
        <v>5122444</v>
      </c>
    </row>
    <row r="240" spans="2:5" x14ac:dyDescent="0.25">
      <c r="B240" s="23" t="s">
        <v>266</v>
      </c>
      <c r="C240" s="16">
        <v>4602308</v>
      </c>
      <c r="D240" s="14">
        <v>446177</v>
      </c>
      <c r="E240" s="12">
        <v>5048485</v>
      </c>
    </row>
    <row r="241" spans="2:5" x14ac:dyDescent="0.25">
      <c r="B241" s="24" t="s">
        <v>267</v>
      </c>
      <c r="C241" s="16">
        <v>4790000</v>
      </c>
      <c r="D241" s="14">
        <v>446837</v>
      </c>
      <c r="E241" s="12">
        <v>5236837</v>
      </c>
    </row>
    <row r="242" spans="2:5" x14ac:dyDescent="0.25">
      <c r="B242" s="23" t="s">
        <v>268</v>
      </c>
      <c r="C242" s="16">
        <v>4818151</v>
      </c>
      <c r="D242" s="14"/>
      <c r="E242" s="12">
        <v>4818151</v>
      </c>
    </row>
    <row r="243" spans="2:5" x14ac:dyDescent="0.25">
      <c r="B243" s="24" t="s">
        <v>269</v>
      </c>
      <c r="C243" s="16">
        <v>4804425</v>
      </c>
      <c r="D243" s="14"/>
      <c r="E243" s="12">
        <v>4804425</v>
      </c>
    </row>
    <row r="244" spans="2:5" x14ac:dyDescent="0.25">
      <c r="B244" s="23" t="s">
        <v>270</v>
      </c>
      <c r="C244" s="16">
        <v>4774450</v>
      </c>
      <c r="D244" s="14">
        <v>448026</v>
      </c>
      <c r="E244" s="12">
        <v>5222476</v>
      </c>
    </row>
    <row r="245" spans="2:5" x14ac:dyDescent="0.25">
      <c r="B245" s="24" t="s">
        <v>271</v>
      </c>
      <c r="C245" s="16">
        <v>4716294</v>
      </c>
      <c r="D245" s="14">
        <v>446212</v>
      </c>
      <c r="E245" s="12">
        <v>5162506</v>
      </c>
    </row>
    <row r="246" spans="2:5" x14ac:dyDescent="0.25">
      <c r="B246" s="23" t="s">
        <v>272</v>
      </c>
      <c r="C246" s="16">
        <v>4603100</v>
      </c>
      <c r="D246" s="14">
        <v>445432</v>
      </c>
      <c r="E246" s="12">
        <v>5048532</v>
      </c>
    </row>
    <row r="247" spans="2:5" x14ac:dyDescent="0.25">
      <c r="B247" s="24" t="s">
        <v>273</v>
      </c>
      <c r="C247" s="16">
        <v>4742413</v>
      </c>
      <c r="D247" s="14">
        <v>441861</v>
      </c>
      <c r="E247" s="12">
        <v>5184274</v>
      </c>
    </row>
    <row r="248" spans="2:5" x14ac:dyDescent="0.25">
      <c r="B248" s="23" t="s">
        <v>274</v>
      </c>
      <c r="C248" s="16">
        <v>4940000</v>
      </c>
      <c r="D248" s="14">
        <v>444435</v>
      </c>
      <c r="E248" s="12">
        <v>5384435</v>
      </c>
    </row>
    <row r="249" spans="2:5" x14ac:dyDescent="0.25">
      <c r="B249" s="24" t="s">
        <v>275</v>
      </c>
      <c r="C249" s="16">
        <v>4981254</v>
      </c>
      <c r="D249" s="14"/>
      <c r="E249" s="12">
        <v>4981254</v>
      </c>
    </row>
    <row r="250" spans="2:5" x14ac:dyDescent="0.25">
      <c r="B250" s="23" t="s">
        <v>276</v>
      </c>
      <c r="C250" s="16">
        <v>5054019</v>
      </c>
      <c r="D250" s="14"/>
      <c r="E250" s="12">
        <v>5054019</v>
      </c>
    </row>
    <row r="251" spans="2:5" x14ac:dyDescent="0.25">
      <c r="B251" s="24" t="s">
        <v>277</v>
      </c>
      <c r="C251" s="16">
        <v>5051799</v>
      </c>
      <c r="D251" s="14">
        <v>448988</v>
      </c>
      <c r="E251" s="12">
        <v>5500787</v>
      </c>
    </row>
    <row r="252" spans="2:5" x14ac:dyDescent="0.25">
      <c r="B252" s="23" t="s">
        <v>278</v>
      </c>
      <c r="C252" s="16">
        <v>4986771</v>
      </c>
      <c r="D252" s="14">
        <v>449281</v>
      </c>
      <c r="E252" s="12">
        <v>5436052</v>
      </c>
    </row>
    <row r="253" spans="2:5" x14ac:dyDescent="0.25">
      <c r="B253" s="24" t="s">
        <v>279</v>
      </c>
      <c r="C253" s="16">
        <v>4936542</v>
      </c>
      <c r="D253" s="14">
        <v>450171</v>
      </c>
      <c r="E253" s="12">
        <v>5386713</v>
      </c>
    </row>
    <row r="254" spans="2:5" x14ac:dyDescent="0.25">
      <c r="B254" s="23" t="s">
        <v>280</v>
      </c>
      <c r="C254" s="16">
        <v>4805314</v>
      </c>
      <c r="D254" s="14">
        <v>449590</v>
      </c>
      <c r="E254" s="12">
        <v>5254904</v>
      </c>
    </row>
    <row r="255" spans="2:5" x14ac:dyDescent="0.25">
      <c r="B255" s="24" t="s">
        <v>281</v>
      </c>
      <c r="C255" s="16">
        <v>4931326</v>
      </c>
      <c r="D255" s="14">
        <v>451333</v>
      </c>
      <c r="E255" s="12">
        <v>5382659</v>
      </c>
    </row>
    <row r="256" spans="2:5" x14ac:dyDescent="0.25">
      <c r="B256" s="23" t="s">
        <v>282</v>
      </c>
      <c r="C256" s="16">
        <v>4965000</v>
      </c>
      <c r="D256" s="14"/>
      <c r="E256" s="12">
        <v>4965000</v>
      </c>
    </row>
    <row r="257" spans="2:5" x14ac:dyDescent="0.25">
      <c r="B257" s="24" t="s">
        <v>283</v>
      </c>
      <c r="C257" s="16">
        <v>4940807</v>
      </c>
      <c r="D257" s="14"/>
      <c r="E257" s="12">
        <v>4940807</v>
      </c>
    </row>
    <row r="258" spans="2:5" x14ac:dyDescent="0.25">
      <c r="B258" s="23" t="s">
        <v>284</v>
      </c>
      <c r="C258" s="16">
        <v>4873571</v>
      </c>
      <c r="D258" s="14">
        <v>453736</v>
      </c>
      <c r="E258" s="12">
        <v>5327307</v>
      </c>
    </row>
    <row r="259" spans="2:5" x14ac:dyDescent="0.25">
      <c r="B259" s="24" t="s">
        <v>285</v>
      </c>
      <c r="C259" s="16">
        <v>4826159</v>
      </c>
      <c r="D259" s="14">
        <v>453139</v>
      </c>
      <c r="E259" s="12">
        <v>5279298</v>
      </c>
    </row>
    <row r="260" spans="2:5" x14ac:dyDescent="0.25">
      <c r="B260" s="23" t="s">
        <v>286</v>
      </c>
      <c r="C260" s="16">
        <v>4993509</v>
      </c>
      <c r="D260" s="14">
        <v>453711</v>
      </c>
      <c r="E260" s="12">
        <v>5447220</v>
      </c>
    </row>
    <row r="261" spans="2:5" x14ac:dyDescent="0.25">
      <c r="B261" s="24" t="s">
        <v>287</v>
      </c>
      <c r="C261" s="16">
        <v>5041200</v>
      </c>
      <c r="D261" s="14">
        <v>454585</v>
      </c>
      <c r="E261" s="12">
        <v>5495785</v>
      </c>
    </row>
    <row r="262" spans="2:5" x14ac:dyDescent="0.25">
      <c r="B262" s="23" t="s">
        <v>288</v>
      </c>
      <c r="C262" s="16">
        <v>5104611</v>
      </c>
      <c r="D262" s="14">
        <v>454145</v>
      </c>
      <c r="E262" s="12">
        <v>5558756</v>
      </c>
    </row>
    <row r="263" spans="2:5" x14ac:dyDescent="0.25">
      <c r="B263" s="24" t="s">
        <v>289</v>
      </c>
      <c r="C263" s="16">
        <v>5054541</v>
      </c>
      <c r="D263" s="14"/>
      <c r="E263" s="12">
        <v>5054541</v>
      </c>
    </row>
    <row r="264" spans="2:5" x14ac:dyDescent="0.25">
      <c r="B264" s="23" t="s">
        <v>290</v>
      </c>
      <c r="C264" s="16">
        <v>5196268</v>
      </c>
      <c r="D264" s="14"/>
      <c r="E264" s="12">
        <v>5196268</v>
      </c>
    </row>
    <row r="265" spans="2:5" x14ac:dyDescent="0.25">
      <c r="B265" s="24" t="s">
        <v>291</v>
      </c>
      <c r="C265" s="16">
        <v>5293878</v>
      </c>
      <c r="D265" s="14"/>
      <c r="E265" s="12">
        <v>5293878</v>
      </c>
    </row>
    <row r="266" spans="2:5" x14ac:dyDescent="0.25">
      <c r="B266" s="23" t="s">
        <v>292</v>
      </c>
      <c r="C266" s="16">
        <v>5274448</v>
      </c>
      <c r="D266" s="14">
        <v>453538</v>
      </c>
      <c r="E266" s="12">
        <v>5727986</v>
      </c>
    </row>
    <row r="267" spans="2:5" x14ac:dyDescent="0.25">
      <c r="B267" s="24" t="s">
        <v>293</v>
      </c>
      <c r="C267" s="16">
        <v>4688538</v>
      </c>
      <c r="D267" s="14">
        <v>452179</v>
      </c>
      <c r="E267" s="12">
        <v>5140717</v>
      </c>
    </row>
    <row r="268" spans="2:5" x14ac:dyDescent="0.25">
      <c r="B268" s="23" t="s">
        <v>294</v>
      </c>
      <c r="C268" s="16">
        <v>4739638</v>
      </c>
      <c r="D268" s="14">
        <v>452990</v>
      </c>
      <c r="E268" s="12">
        <v>5192628</v>
      </c>
    </row>
    <row r="269" spans="2:5" x14ac:dyDescent="0.25">
      <c r="B269" s="24" t="s">
        <v>295</v>
      </c>
      <c r="C269" s="16">
        <v>4681287</v>
      </c>
      <c r="D269" s="14">
        <v>452047</v>
      </c>
      <c r="E269" s="12">
        <v>5133334</v>
      </c>
    </row>
    <row r="270" spans="2:5" x14ac:dyDescent="0.25">
      <c r="B270" s="23" t="s">
        <v>296</v>
      </c>
      <c r="C270" s="16">
        <v>4600133</v>
      </c>
      <c r="D270" s="14"/>
      <c r="E270" s="12">
        <v>4600133</v>
      </c>
    </row>
    <row r="271" spans="2:5" x14ac:dyDescent="0.25">
      <c r="B271" s="24" t="s">
        <v>297</v>
      </c>
      <c r="C271" s="16">
        <v>4650462</v>
      </c>
      <c r="D271" s="14"/>
      <c r="E271" s="12">
        <v>4650462</v>
      </c>
    </row>
    <row r="272" spans="2:5" x14ac:dyDescent="0.25">
      <c r="B272" s="23" t="s">
        <v>298</v>
      </c>
      <c r="C272" s="16">
        <v>4689700</v>
      </c>
      <c r="D272" s="14">
        <v>449299</v>
      </c>
      <c r="E272" s="12">
        <v>5138999</v>
      </c>
    </row>
    <row r="273" spans="2:5" x14ac:dyDescent="0.25">
      <c r="B273" s="24" t="s">
        <v>299</v>
      </c>
      <c r="C273" s="16">
        <v>4749854</v>
      </c>
      <c r="D273" s="14">
        <v>448568</v>
      </c>
      <c r="E273" s="12">
        <v>5198422</v>
      </c>
    </row>
    <row r="274" spans="2:5" x14ac:dyDescent="0.25">
      <c r="B274" s="23" t="s">
        <v>300</v>
      </c>
      <c r="C274" s="16">
        <v>4845516</v>
      </c>
      <c r="D274" s="14">
        <v>448687</v>
      </c>
      <c r="E274" s="12">
        <v>5294203</v>
      </c>
    </row>
    <row r="275" spans="2:5" x14ac:dyDescent="0.25">
      <c r="B275" s="24" t="s">
        <v>301</v>
      </c>
      <c r="C275" s="16">
        <v>4850000</v>
      </c>
      <c r="D275" s="14">
        <v>448587</v>
      </c>
      <c r="E275" s="12">
        <v>5298587</v>
      </c>
    </row>
    <row r="276" spans="2:5" x14ac:dyDescent="0.25">
      <c r="B276" s="23" t="s">
        <v>302</v>
      </c>
      <c r="C276" s="16">
        <v>4816596</v>
      </c>
      <c r="D276" s="14">
        <v>447152</v>
      </c>
      <c r="E276" s="12">
        <v>5263748</v>
      </c>
    </row>
    <row r="277" spans="2:5" x14ac:dyDescent="0.25">
      <c r="B277" s="24" t="s">
        <v>303</v>
      </c>
      <c r="C277" s="16">
        <v>4880897</v>
      </c>
      <c r="D277" s="14"/>
      <c r="E277" s="12">
        <v>4880897</v>
      </c>
    </row>
    <row r="278" spans="2:5" x14ac:dyDescent="0.25">
      <c r="B278" s="23" t="s">
        <v>304</v>
      </c>
      <c r="C278" s="16">
        <v>4833332</v>
      </c>
      <c r="D278" s="14"/>
      <c r="E278" s="12">
        <v>4833332</v>
      </c>
    </row>
    <row r="279" spans="2:5" x14ac:dyDescent="0.25">
      <c r="B279" s="24" t="s">
        <v>305</v>
      </c>
      <c r="C279" s="16">
        <v>4583790</v>
      </c>
      <c r="D279" s="14">
        <v>440295</v>
      </c>
      <c r="E279" s="12">
        <v>5024085</v>
      </c>
    </row>
    <row r="280" spans="2:5" x14ac:dyDescent="0.25">
      <c r="B280" s="23" t="s">
        <v>306</v>
      </c>
      <c r="C280" s="16">
        <v>4365553</v>
      </c>
      <c r="D280" s="14">
        <v>439487</v>
      </c>
      <c r="E280" s="12">
        <v>4805040</v>
      </c>
    </row>
    <row r="281" spans="2:5" x14ac:dyDescent="0.25">
      <c r="B281" s="24" t="s">
        <v>307</v>
      </c>
      <c r="C281" s="16">
        <v>4423192</v>
      </c>
      <c r="D281" s="14">
        <v>441675</v>
      </c>
      <c r="E281" s="12">
        <v>4864867</v>
      </c>
    </row>
    <row r="282" spans="2:5" x14ac:dyDescent="0.25">
      <c r="B282" s="23" t="s">
        <v>308</v>
      </c>
      <c r="C282" s="16">
        <v>4506297</v>
      </c>
      <c r="D282" s="14">
        <v>446540</v>
      </c>
      <c r="E282" s="12">
        <v>4952837</v>
      </c>
    </row>
    <row r="283" spans="2:5" x14ac:dyDescent="0.25">
      <c r="B283" s="24" t="s">
        <v>309</v>
      </c>
      <c r="C283" s="16">
        <v>4515781</v>
      </c>
      <c r="D283" s="14">
        <v>446312</v>
      </c>
      <c r="E283" s="12">
        <v>4962093</v>
      </c>
    </row>
    <row r="284" spans="2:5" x14ac:dyDescent="0.25">
      <c r="B284" s="23" t="s">
        <v>310</v>
      </c>
      <c r="C284" s="16">
        <v>4298506</v>
      </c>
      <c r="D284" s="14"/>
      <c r="E284" s="12">
        <v>4298506</v>
      </c>
    </row>
    <row r="285" spans="2:5" x14ac:dyDescent="0.25">
      <c r="B285" s="24" t="s">
        <v>311</v>
      </c>
      <c r="C285" s="16">
        <v>4435000</v>
      </c>
      <c r="D285" s="14"/>
      <c r="E285" s="12">
        <v>4435000</v>
      </c>
    </row>
    <row r="286" spans="2:5" x14ac:dyDescent="0.25">
      <c r="B286" s="23" t="s">
        <v>312</v>
      </c>
      <c r="C286" s="16">
        <v>4425076</v>
      </c>
      <c r="D286" s="14">
        <v>445730</v>
      </c>
      <c r="E286" s="12">
        <v>4870806</v>
      </c>
    </row>
    <row r="287" spans="2:5" x14ac:dyDescent="0.25">
      <c r="B287" s="24" t="s">
        <v>313</v>
      </c>
      <c r="C287" s="16">
        <v>4277112</v>
      </c>
      <c r="D287" s="14">
        <v>441954</v>
      </c>
      <c r="E287" s="12">
        <v>4719066</v>
      </c>
    </row>
    <row r="288" spans="2:5" x14ac:dyDescent="0.25">
      <c r="B288" s="23" t="s">
        <v>314</v>
      </c>
      <c r="C288" s="16">
        <v>4372663</v>
      </c>
      <c r="D288" s="14">
        <v>438557</v>
      </c>
      <c r="E288" s="12">
        <v>4811220</v>
      </c>
    </row>
    <row r="289" spans="2:5" x14ac:dyDescent="0.25">
      <c r="B289" s="24" t="s">
        <v>315</v>
      </c>
      <c r="C289" s="16">
        <v>4409770</v>
      </c>
      <c r="D289" s="14">
        <v>438255</v>
      </c>
      <c r="E289" s="12">
        <v>4848025</v>
      </c>
    </row>
    <row r="290" spans="2:5" x14ac:dyDescent="0.25">
      <c r="B290" s="23" t="s">
        <v>316</v>
      </c>
      <c r="C290" s="16">
        <v>4849568</v>
      </c>
      <c r="D290" s="14">
        <v>437519</v>
      </c>
      <c r="E290" s="12">
        <v>5287087</v>
      </c>
    </row>
    <row r="291" spans="2:5" x14ac:dyDescent="0.25">
      <c r="B291" s="24" t="s">
        <v>317</v>
      </c>
      <c r="C291" s="16">
        <v>4834670</v>
      </c>
      <c r="D291" s="14"/>
      <c r="E291" s="12">
        <v>4834670</v>
      </c>
    </row>
    <row r="292" spans="2:5" x14ac:dyDescent="0.25">
      <c r="B292" s="23" t="s">
        <v>318</v>
      </c>
      <c r="C292" s="16">
        <v>4925930</v>
      </c>
      <c r="D292" s="14"/>
      <c r="E292" s="12">
        <v>4925930</v>
      </c>
    </row>
    <row r="293" spans="2:5" x14ac:dyDescent="0.25">
      <c r="B293" s="24" t="s">
        <v>319</v>
      </c>
      <c r="C293" s="16">
        <v>4978933</v>
      </c>
      <c r="D293" s="14">
        <v>435551</v>
      </c>
      <c r="E293" s="12">
        <v>5414484</v>
      </c>
    </row>
    <row r="294" spans="2:5" x14ac:dyDescent="0.25">
      <c r="B294" s="23" t="s">
        <v>320</v>
      </c>
      <c r="C294" s="16">
        <v>5192783</v>
      </c>
      <c r="D294" s="14">
        <v>436923</v>
      </c>
      <c r="E294" s="12">
        <v>5629706</v>
      </c>
    </row>
    <row r="295" spans="2:5" x14ac:dyDescent="0.25">
      <c r="B295" s="24" t="s">
        <v>321</v>
      </c>
      <c r="C295" s="16">
        <v>5580000</v>
      </c>
      <c r="D295" s="14">
        <v>436557</v>
      </c>
      <c r="E295" s="12">
        <v>6016557</v>
      </c>
    </row>
    <row r="296" spans="2:5" x14ac:dyDescent="0.25">
      <c r="B296" s="23" t="s">
        <v>322</v>
      </c>
      <c r="C296" s="16">
        <v>5523153</v>
      </c>
      <c r="D296" s="14">
        <v>442997</v>
      </c>
      <c r="E296" s="12">
        <v>5966150</v>
      </c>
    </row>
    <row r="297" spans="2:5" x14ac:dyDescent="0.25">
      <c r="B297" s="24" t="s">
        <v>323</v>
      </c>
      <c r="C297" s="16">
        <v>5615058</v>
      </c>
      <c r="D297" s="14">
        <v>441202</v>
      </c>
      <c r="E297" s="12">
        <v>6056260</v>
      </c>
    </row>
    <row r="298" spans="2:5" x14ac:dyDescent="0.25">
      <c r="B298" s="23" t="s">
        <v>324</v>
      </c>
      <c r="C298" s="16">
        <v>5548687</v>
      </c>
      <c r="D298" s="14"/>
      <c r="E298" s="12">
        <v>5548687</v>
      </c>
    </row>
    <row r="299" spans="2:5" x14ac:dyDescent="0.25">
      <c r="B299" s="24" t="s">
        <v>325</v>
      </c>
      <c r="C299" s="16">
        <v>5675901</v>
      </c>
      <c r="D299" s="14"/>
      <c r="E299" s="12">
        <v>5675901</v>
      </c>
    </row>
    <row r="300" spans="2:5" x14ac:dyDescent="0.25">
      <c r="B300" s="23" t="s">
        <v>326</v>
      </c>
      <c r="C300" s="16">
        <v>5800000</v>
      </c>
      <c r="D300" s="14">
        <v>441588</v>
      </c>
      <c r="E300" s="12">
        <v>6241588</v>
      </c>
    </row>
    <row r="301" spans="2:5" x14ac:dyDescent="0.25">
      <c r="B301" s="24" t="s">
        <v>327</v>
      </c>
      <c r="C301" s="16">
        <v>5768888</v>
      </c>
      <c r="D301" s="14">
        <v>437489</v>
      </c>
      <c r="E301" s="12">
        <v>6206377</v>
      </c>
    </row>
    <row r="302" spans="2:5" x14ac:dyDescent="0.25">
      <c r="B302" s="23" t="s">
        <v>328</v>
      </c>
      <c r="C302" s="16">
        <v>5850002</v>
      </c>
      <c r="D302" s="14">
        <v>437287</v>
      </c>
      <c r="E302" s="12">
        <v>6287289</v>
      </c>
    </row>
    <row r="303" spans="2:5" x14ac:dyDescent="0.25">
      <c r="B303" s="24" t="s">
        <v>329</v>
      </c>
      <c r="C303" s="16">
        <v>5945000</v>
      </c>
      <c r="D303" s="14">
        <v>443973</v>
      </c>
      <c r="E303" s="12">
        <v>6388973</v>
      </c>
    </row>
    <row r="304" spans="2:5" x14ac:dyDescent="0.25">
      <c r="B304" s="23" t="s">
        <v>330</v>
      </c>
      <c r="C304" s="16">
        <v>6289800</v>
      </c>
      <c r="D304" s="14">
        <v>447582</v>
      </c>
      <c r="E304" s="12">
        <v>6737382</v>
      </c>
    </row>
    <row r="305" spans="2:5" x14ac:dyDescent="0.25">
      <c r="B305" s="24" t="s">
        <v>331</v>
      </c>
      <c r="C305" s="16">
        <v>6236608</v>
      </c>
      <c r="D305" s="14"/>
      <c r="E305" s="12">
        <v>6236608</v>
      </c>
    </row>
    <row r="306" spans="2:5" x14ac:dyDescent="0.25">
      <c r="B306" s="23" t="s">
        <v>332</v>
      </c>
      <c r="C306" s="16">
        <v>6255273</v>
      </c>
      <c r="D306" s="14"/>
      <c r="E306" s="12">
        <v>6255273</v>
      </c>
    </row>
    <row r="307" spans="2:5" x14ac:dyDescent="0.25">
      <c r="B307" s="24" t="s">
        <v>333</v>
      </c>
      <c r="C307" s="16">
        <v>6297338</v>
      </c>
      <c r="D307" s="14">
        <v>448875</v>
      </c>
      <c r="E307" s="12">
        <v>6746213</v>
      </c>
    </row>
    <row r="308" spans="2:5" x14ac:dyDescent="0.25">
      <c r="B308" s="23" t="s">
        <v>334</v>
      </c>
      <c r="C308" s="16">
        <v>6449812</v>
      </c>
      <c r="D308" s="14">
        <v>452040</v>
      </c>
      <c r="E308" s="12">
        <v>6901852</v>
      </c>
    </row>
    <row r="309" spans="2:5" x14ac:dyDescent="0.25">
      <c r="B309" s="24" t="s">
        <v>335</v>
      </c>
      <c r="C309" s="16">
        <v>6699472</v>
      </c>
      <c r="D309" s="14">
        <v>454087</v>
      </c>
      <c r="E309" s="12">
        <v>7153559</v>
      </c>
    </row>
    <row r="310" spans="2:5" x14ac:dyDescent="0.25">
      <c r="B310" s="23" t="s">
        <v>336</v>
      </c>
      <c r="C310" s="16">
        <v>6664314</v>
      </c>
      <c r="D310" s="14">
        <v>455144</v>
      </c>
      <c r="E310" s="12">
        <v>7119458</v>
      </c>
    </row>
    <row r="311" spans="2:5" x14ac:dyDescent="0.25">
      <c r="B311" s="24" t="s">
        <v>337</v>
      </c>
      <c r="C311" s="16">
        <v>6374562</v>
      </c>
      <c r="D311" s="14">
        <v>455967</v>
      </c>
      <c r="E311" s="12">
        <v>6830529</v>
      </c>
    </row>
    <row r="312" spans="2:5" x14ac:dyDescent="0.25">
      <c r="B312" s="23" t="s">
        <v>338</v>
      </c>
      <c r="C312" s="16">
        <v>6174351</v>
      </c>
      <c r="D312" s="14"/>
      <c r="E312" s="12">
        <v>6174351</v>
      </c>
    </row>
    <row r="313" spans="2:5" x14ac:dyDescent="0.25">
      <c r="B313" s="24" t="s">
        <v>339</v>
      </c>
      <c r="C313" s="16">
        <v>6222314</v>
      </c>
      <c r="D313" s="14"/>
      <c r="E313" s="12">
        <v>6222314</v>
      </c>
    </row>
    <row r="314" spans="2:5" x14ac:dyDescent="0.25">
      <c r="B314" s="23" t="s">
        <v>340</v>
      </c>
      <c r="C314" s="16">
        <v>6370330</v>
      </c>
      <c r="D314" s="14">
        <v>457262</v>
      </c>
      <c r="E314" s="12">
        <v>6827592</v>
      </c>
    </row>
    <row r="315" spans="2:5" x14ac:dyDescent="0.25">
      <c r="B315" s="24" t="s">
        <v>341</v>
      </c>
      <c r="C315" s="16">
        <v>6310280</v>
      </c>
      <c r="D315" s="14">
        <v>459853</v>
      </c>
      <c r="E315" s="12">
        <v>6770133</v>
      </c>
    </row>
    <row r="316" spans="2:5" x14ac:dyDescent="0.25">
      <c r="B316" s="23" t="s">
        <v>342</v>
      </c>
      <c r="C316" s="16">
        <v>6150000</v>
      </c>
      <c r="D316" s="14">
        <v>458457</v>
      </c>
      <c r="E316" s="12">
        <v>6608457</v>
      </c>
    </row>
    <row r="317" spans="2:5" x14ac:dyDescent="0.25">
      <c r="B317" s="24" t="s">
        <v>343</v>
      </c>
      <c r="C317" s="16">
        <v>6250887</v>
      </c>
      <c r="D317" s="14">
        <v>459755</v>
      </c>
      <c r="E317" s="12">
        <v>6710642</v>
      </c>
    </row>
    <row r="318" spans="2:5" x14ac:dyDescent="0.25">
      <c r="B318" s="23" t="s">
        <v>344</v>
      </c>
      <c r="C318" s="16">
        <v>6297800</v>
      </c>
      <c r="D318" s="14">
        <v>460808</v>
      </c>
      <c r="E318" s="12">
        <v>6758608</v>
      </c>
    </row>
    <row r="319" spans="2:5" x14ac:dyDescent="0.25">
      <c r="B319" s="24" t="s">
        <v>345</v>
      </c>
      <c r="C319" s="16">
        <v>6248797</v>
      </c>
      <c r="D319" s="14"/>
      <c r="E319" s="12">
        <v>6248797</v>
      </c>
    </row>
    <row r="320" spans="2:5" x14ac:dyDescent="0.25">
      <c r="B320" s="23" t="s">
        <v>346</v>
      </c>
      <c r="C320" s="16">
        <v>6176800</v>
      </c>
      <c r="D320" s="14"/>
      <c r="E320" s="12">
        <v>6176800</v>
      </c>
    </row>
    <row r="321" spans="2:5" x14ac:dyDescent="0.25">
      <c r="B321" s="24" t="s">
        <v>347</v>
      </c>
      <c r="C321" s="16">
        <v>6249000</v>
      </c>
      <c r="D321" s="14">
        <v>462034</v>
      </c>
      <c r="E321" s="12">
        <v>6711034</v>
      </c>
    </row>
    <row r="322" spans="2:5" x14ac:dyDescent="0.25">
      <c r="B322" s="23" t="s">
        <v>348</v>
      </c>
      <c r="C322" s="16">
        <v>6431900</v>
      </c>
      <c r="D322" s="14">
        <v>463515</v>
      </c>
      <c r="E322" s="12">
        <v>6895415</v>
      </c>
    </row>
    <row r="323" spans="2:5" x14ac:dyDescent="0.25">
      <c r="B323" s="24" t="s">
        <v>349</v>
      </c>
      <c r="C323" s="16">
        <v>6354754</v>
      </c>
      <c r="D323" s="14">
        <v>466346</v>
      </c>
      <c r="E323" s="12">
        <v>6821100</v>
      </c>
    </row>
    <row r="324" spans="2:5" x14ac:dyDescent="0.25">
      <c r="B324" s="23" t="s">
        <v>350</v>
      </c>
      <c r="C324" s="16">
        <v>6285883</v>
      </c>
      <c r="D324" s="14">
        <v>468300</v>
      </c>
      <c r="E324" s="12">
        <v>6754183</v>
      </c>
    </row>
    <row r="325" spans="2:5" x14ac:dyDescent="0.25">
      <c r="B325" s="24" t="s">
        <v>351</v>
      </c>
      <c r="C325" s="16">
        <v>6400000</v>
      </c>
      <c r="D325" s="14">
        <v>471850</v>
      </c>
      <c r="E325" s="12">
        <v>6871850</v>
      </c>
    </row>
    <row r="326" spans="2:5" x14ac:dyDescent="0.25">
      <c r="B326" s="23" t="s">
        <v>352</v>
      </c>
      <c r="C326" s="16">
        <v>6233816</v>
      </c>
      <c r="D326" s="14"/>
      <c r="E326" s="12">
        <v>6233816</v>
      </c>
    </row>
    <row r="327" spans="2:5" x14ac:dyDescent="0.25">
      <c r="B327" s="24" t="s">
        <v>353</v>
      </c>
      <c r="C327" s="16">
        <v>6568000</v>
      </c>
      <c r="D327" s="14"/>
      <c r="E327" s="12">
        <v>6568000</v>
      </c>
    </row>
    <row r="328" spans="2:5" x14ac:dyDescent="0.25">
      <c r="B328" s="23" t="s">
        <v>354</v>
      </c>
      <c r="C328" s="16">
        <v>6853411</v>
      </c>
      <c r="D328" s="14">
        <v>471492</v>
      </c>
      <c r="E328" s="12">
        <v>7324903</v>
      </c>
    </row>
    <row r="329" spans="2:5" x14ac:dyDescent="0.25">
      <c r="B329" s="24" t="s">
        <v>355</v>
      </c>
      <c r="C329" s="16">
        <v>6852952</v>
      </c>
      <c r="D329" s="14">
        <v>470853</v>
      </c>
      <c r="E329" s="12">
        <v>7323805</v>
      </c>
    </row>
    <row r="330" spans="2:5" x14ac:dyDescent="0.25">
      <c r="B330" s="23" t="s">
        <v>356</v>
      </c>
      <c r="C330" s="16">
        <v>6900000</v>
      </c>
      <c r="D330" s="14">
        <v>468485</v>
      </c>
      <c r="E330" s="12">
        <v>7368485</v>
      </c>
    </row>
    <row r="331" spans="2:5" x14ac:dyDescent="0.25">
      <c r="B331" s="24" t="s">
        <v>357</v>
      </c>
      <c r="C331" s="16">
        <v>6558700</v>
      </c>
      <c r="D331" s="14">
        <v>466455</v>
      </c>
      <c r="E331" s="12">
        <v>7025155</v>
      </c>
    </row>
    <row r="332" spans="2:5" x14ac:dyDescent="0.25">
      <c r="B332" s="23" t="s">
        <v>358</v>
      </c>
      <c r="C332" s="16">
        <v>6507149</v>
      </c>
      <c r="D332" s="14">
        <v>468847</v>
      </c>
      <c r="E332" s="12">
        <v>6975996</v>
      </c>
    </row>
    <row r="333" spans="2:5" x14ac:dyDescent="0.25">
      <c r="B333" s="24" t="s">
        <v>359</v>
      </c>
      <c r="C333" s="16">
        <v>6533887</v>
      </c>
      <c r="D333" s="14"/>
      <c r="E333" s="12">
        <v>6533887</v>
      </c>
    </row>
    <row r="334" spans="2:5" x14ac:dyDescent="0.25">
      <c r="B334" s="23" t="s">
        <v>360</v>
      </c>
      <c r="C334" s="16">
        <v>6620000</v>
      </c>
      <c r="D334" s="14"/>
      <c r="E334" s="12">
        <v>6620000</v>
      </c>
    </row>
    <row r="335" spans="2:5" x14ac:dyDescent="0.25">
      <c r="B335" s="24" t="s">
        <v>361</v>
      </c>
      <c r="C335" s="16">
        <v>6634074</v>
      </c>
      <c r="D335" s="14">
        <v>469742</v>
      </c>
      <c r="E335" s="12">
        <v>7103816</v>
      </c>
    </row>
    <row r="336" spans="2:5" x14ac:dyDescent="0.25">
      <c r="B336" s="23" t="s">
        <v>362</v>
      </c>
      <c r="C336" s="16">
        <v>6155853</v>
      </c>
      <c r="D336" s="14">
        <v>471495</v>
      </c>
      <c r="E336" s="12">
        <v>6627348</v>
      </c>
    </row>
    <row r="337" spans="2:5" x14ac:dyDescent="0.25">
      <c r="B337" s="24" t="s">
        <v>363</v>
      </c>
      <c r="C337" s="16">
        <v>6097625</v>
      </c>
      <c r="D337" s="14">
        <v>470150</v>
      </c>
      <c r="E337" s="12">
        <v>6567775</v>
      </c>
    </row>
    <row r="338" spans="2:5" x14ac:dyDescent="0.25">
      <c r="B338" s="23" t="s">
        <v>364</v>
      </c>
      <c r="C338" s="16">
        <v>6010630</v>
      </c>
      <c r="D338" s="14">
        <v>470880</v>
      </c>
      <c r="E338" s="12">
        <v>6481510</v>
      </c>
    </row>
    <row r="339" spans="2:5" x14ac:dyDescent="0.25">
      <c r="B339" s="24" t="s">
        <v>365</v>
      </c>
      <c r="C339" s="16">
        <v>5904200</v>
      </c>
      <c r="D339" s="14">
        <v>471775</v>
      </c>
      <c r="E339" s="12">
        <v>6375975</v>
      </c>
    </row>
    <row r="340" spans="2:5" x14ac:dyDescent="0.25">
      <c r="B340" s="23" t="s">
        <v>366</v>
      </c>
      <c r="C340" s="16">
        <v>5988611</v>
      </c>
      <c r="D340" s="14"/>
      <c r="E340" s="12">
        <v>5988611</v>
      </c>
    </row>
    <row r="341" spans="2:5" x14ac:dyDescent="0.25">
      <c r="B341" s="24" t="s">
        <v>367</v>
      </c>
      <c r="C341" s="16">
        <v>6006189</v>
      </c>
      <c r="D341" s="14"/>
      <c r="E341" s="12">
        <v>6006189</v>
      </c>
    </row>
    <row r="342" spans="2:5" x14ac:dyDescent="0.25">
      <c r="B342" s="23" t="s">
        <v>368</v>
      </c>
      <c r="C342" s="16">
        <v>5958152</v>
      </c>
      <c r="D342" s="14">
        <v>474383</v>
      </c>
      <c r="E342" s="12">
        <v>6432535</v>
      </c>
    </row>
    <row r="343" spans="2:5" x14ac:dyDescent="0.25">
      <c r="B343" s="24" t="s">
        <v>369</v>
      </c>
      <c r="C343" s="16">
        <v>5788226</v>
      </c>
      <c r="D343" s="14">
        <v>469939</v>
      </c>
      <c r="E343" s="12">
        <v>6258165</v>
      </c>
    </row>
    <row r="344" spans="2:5" x14ac:dyDescent="0.25">
      <c r="B344" s="23" t="s">
        <v>370</v>
      </c>
      <c r="C344" s="16">
        <v>5827658</v>
      </c>
      <c r="D344" s="14">
        <v>470287</v>
      </c>
      <c r="E344" s="12">
        <v>6297945</v>
      </c>
    </row>
    <row r="345" spans="2:5" x14ac:dyDescent="0.25">
      <c r="B345" s="24" t="s">
        <v>371</v>
      </c>
      <c r="C345" s="16">
        <v>5947665</v>
      </c>
      <c r="D345" s="14"/>
      <c r="E345" s="12">
        <v>5947665</v>
      </c>
    </row>
    <row r="346" spans="2:5" x14ac:dyDescent="0.25">
      <c r="B346" s="23" t="s">
        <v>372</v>
      </c>
      <c r="C346" s="16">
        <v>5804376</v>
      </c>
      <c r="D346" s="14">
        <v>466463</v>
      </c>
      <c r="E346" s="12">
        <v>6270839</v>
      </c>
    </row>
    <row r="347" spans="2:5" x14ac:dyDescent="0.25">
      <c r="B347" s="24" t="s">
        <v>373</v>
      </c>
      <c r="C347" s="16">
        <v>5532080</v>
      </c>
      <c r="D347" s="14"/>
      <c r="E347" s="12">
        <v>5532080</v>
      </c>
    </row>
    <row r="348" spans="2:5" x14ac:dyDescent="0.25">
      <c r="B348" s="23" t="s">
        <v>374</v>
      </c>
      <c r="C348" s="16">
        <v>5826520</v>
      </c>
      <c r="D348" s="14"/>
      <c r="E348" s="12">
        <v>5826520</v>
      </c>
    </row>
    <row r="349" spans="2:5" x14ac:dyDescent="0.25">
      <c r="B349" s="24" t="s">
        <v>375</v>
      </c>
      <c r="C349" s="16">
        <v>5890331</v>
      </c>
      <c r="D349" s="14">
        <v>467295</v>
      </c>
      <c r="E349" s="12">
        <v>6357626</v>
      </c>
    </row>
    <row r="350" spans="2:5" x14ac:dyDescent="0.25">
      <c r="B350" s="23" t="s">
        <v>376</v>
      </c>
      <c r="C350" s="16">
        <v>5922698</v>
      </c>
      <c r="D350" s="14">
        <v>464602</v>
      </c>
      <c r="E350" s="12">
        <v>6387300</v>
      </c>
    </row>
    <row r="351" spans="2:5" x14ac:dyDescent="0.25">
      <c r="B351" s="24" t="s">
        <v>377</v>
      </c>
      <c r="C351" s="16">
        <v>5910591</v>
      </c>
      <c r="D351" s="14">
        <v>465294</v>
      </c>
      <c r="E351" s="12">
        <v>6375885</v>
      </c>
    </row>
    <row r="352" spans="2:5" x14ac:dyDescent="0.25">
      <c r="B352" s="23" t="s">
        <v>378</v>
      </c>
      <c r="C352" s="16">
        <v>5727792</v>
      </c>
      <c r="D352" s="14">
        <v>459546</v>
      </c>
      <c r="E352" s="12">
        <v>6187338</v>
      </c>
    </row>
    <row r="353" spans="2:5" x14ac:dyDescent="0.25">
      <c r="B353" s="24" t="s">
        <v>379</v>
      </c>
      <c r="C353" s="16">
        <v>5767358</v>
      </c>
      <c r="D353" s="14">
        <v>460803</v>
      </c>
      <c r="E353" s="12">
        <v>6228161</v>
      </c>
    </row>
    <row r="354" spans="2:5" x14ac:dyDescent="0.25">
      <c r="B354" s="23" t="s">
        <v>380</v>
      </c>
      <c r="C354" s="16">
        <v>5264442</v>
      </c>
      <c r="D354" s="14"/>
      <c r="E354" s="12">
        <v>5264442</v>
      </c>
    </row>
    <row r="355" spans="2:5" x14ac:dyDescent="0.25">
      <c r="B355" s="24" t="s">
        <v>381</v>
      </c>
      <c r="C355" s="16">
        <v>4978695</v>
      </c>
      <c r="D355" s="14"/>
      <c r="E355" s="12">
        <v>4978695</v>
      </c>
    </row>
    <row r="356" spans="2:5" x14ac:dyDescent="0.25">
      <c r="B356" s="23" t="s">
        <v>382</v>
      </c>
      <c r="C356" s="16">
        <v>5148104</v>
      </c>
      <c r="D356" s="14">
        <v>461260</v>
      </c>
      <c r="E356" s="12">
        <v>5609364</v>
      </c>
    </row>
    <row r="357" spans="2:5" x14ac:dyDescent="0.25">
      <c r="B357" s="24" t="s">
        <v>383</v>
      </c>
      <c r="C357" s="16">
        <v>5198266</v>
      </c>
      <c r="D357" s="14">
        <v>469404</v>
      </c>
      <c r="E357" s="12">
        <v>5667670</v>
      </c>
    </row>
    <row r="358" spans="2:5" x14ac:dyDescent="0.25">
      <c r="B358" s="23" t="s">
        <v>384</v>
      </c>
      <c r="C358" s="16">
        <v>5126982</v>
      </c>
      <c r="D358" s="14">
        <v>470506</v>
      </c>
      <c r="E358" s="12">
        <v>5597488</v>
      </c>
    </row>
    <row r="359" spans="2:5" x14ac:dyDescent="0.25">
      <c r="B359" s="24" t="s">
        <v>385</v>
      </c>
      <c r="C359" s="16">
        <v>5036235</v>
      </c>
      <c r="D359" s="14">
        <v>469526</v>
      </c>
      <c r="E359" s="12">
        <v>5505761</v>
      </c>
    </row>
    <row r="360" spans="2:5" x14ac:dyDescent="0.25">
      <c r="B360" s="23" t="s">
        <v>386</v>
      </c>
      <c r="C360" s="16">
        <v>4924300</v>
      </c>
      <c r="D360" s="14">
        <v>471357</v>
      </c>
      <c r="E360" s="12">
        <v>5395657</v>
      </c>
    </row>
    <row r="361" spans="2:5" x14ac:dyDescent="0.25">
      <c r="B361" s="24" t="s">
        <v>387</v>
      </c>
      <c r="C361" s="16">
        <v>4969999</v>
      </c>
      <c r="D361" s="14"/>
      <c r="E361" s="12">
        <v>4969999</v>
      </c>
    </row>
    <row r="362" spans="2:5" x14ac:dyDescent="0.25">
      <c r="B362" s="23" t="s">
        <v>388</v>
      </c>
      <c r="C362" s="16">
        <v>5080848</v>
      </c>
      <c r="D362" s="14"/>
      <c r="E362" s="12">
        <v>5080848</v>
      </c>
    </row>
    <row r="363" spans="2:5" x14ac:dyDescent="0.25">
      <c r="B363" s="24" t="s">
        <v>389</v>
      </c>
      <c r="C363" s="16">
        <v>4934869</v>
      </c>
      <c r="D363" s="14">
        <v>471030</v>
      </c>
      <c r="E363" s="12">
        <v>5405899</v>
      </c>
    </row>
    <row r="364" spans="2:5" x14ac:dyDescent="0.25">
      <c r="B364" s="23" t="s">
        <v>390</v>
      </c>
      <c r="C364" s="16">
        <v>4878428</v>
      </c>
      <c r="D364" s="14">
        <v>466047</v>
      </c>
      <c r="E364" s="12">
        <v>5344475</v>
      </c>
    </row>
    <row r="365" spans="2:5" x14ac:dyDescent="0.25">
      <c r="B365" s="24" t="s">
        <v>391</v>
      </c>
      <c r="C365" s="16">
        <v>4950000</v>
      </c>
      <c r="D365" s="14">
        <v>471260</v>
      </c>
      <c r="E365" s="12">
        <v>5421260</v>
      </c>
    </row>
    <row r="366" spans="2:5" x14ac:dyDescent="0.25">
      <c r="B366" s="23" t="s">
        <v>392</v>
      </c>
      <c r="C366" s="16">
        <v>4946629</v>
      </c>
      <c r="D366" s="14">
        <v>473199</v>
      </c>
      <c r="E366" s="12">
        <v>5419828</v>
      </c>
    </row>
    <row r="367" spans="2:5" x14ac:dyDescent="0.25">
      <c r="B367" s="24" t="s">
        <v>393</v>
      </c>
      <c r="C367" s="16">
        <v>4819413</v>
      </c>
      <c r="D367" s="14">
        <v>466670</v>
      </c>
      <c r="E367" s="12">
        <v>5286083</v>
      </c>
    </row>
    <row r="368" spans="2:5" x14ac:dyDescent="0.25">
      <c r="B368" s="23" t="s">
        <v>394</v>
      </c>
      <c r="C368" s="16">
        <v>4798093</v>
      </c>
      <c r="D368" s="14"/>
      <c r="E368" s="12">
        <v>4798093</v>
      </c>
    </row>
    <row r="369" spans="2:5" x14ac:dyDescent="0.25">
      <c r="B369" s="24" t="s">
        <v>395</v>
      </c>
      <c r="C369" s="16">
        <v>4830622</v>
      </c>
      <c r="D369" s="14"/>
      <c r="E369" s="12">
        <v>4830622</v>
      </c>
    </row>
    <row r="370" spans="2:5" x14ac:dyDescent="0.25">
      <c r="B370" s="23" t="s">
        <v>396</v>
      </c>
      <c r="C370" s="16">
        <v>4808261</v>
      </c>
      <c r="D370" s="14">
        <v>458790</v>
      </c>
      <c r="E370" s="12">
        <v>5267051</v>
      </c>
    </row>
    <row r="371" spans="2:5" x14ac:dyDescent="0.25">
      <c r="B371" s="24" t="s">
        <v>397</v>
      </c>
      <c r="C371" s="16">
        <v>4959811</v>
      </c>
      <c r="D371" s="14">
        <v>465114</v>
      </c>
      <c r="E371" s="12">
        <v>5424925</v>
      </c>
    </row>
    <row r="372" spans="2:5" x14ac:dyDescent="0.25">
      <c r="B372" s="23" t="s">
        <v>398</v>
      </c>
      <c r="C372" s="16">
        <v>4954886</v>
      </c>
      <c r="D372" s="14">
        <v>469767</v>
      </c>
      <c r="E372" s="12">
        <v>5424653</v>
      </c>
    </row>
    <row r="373" spans="2:5" x14ac:dyDescent="0.25">
      <c r="B373" s="24" t="s">
        <v>399</v>
      </c>
      <c r="C373" s="16">
        <v>5153371</v>
      </c>
      <c r="D373" s="14">
        <v>474074</v>
      </c>
      <c r="E373" s="12">
        <v>5627445</v>
      </c>
    </row>
    <row r="374" spans="2:5" x14ac:dyDescent="0.25">
      <c r="B374" s="23" t="s">
        <v>400</v>
      </c>
      <c r="C374" s="16">
        <v>5186686</v>
      </c>
      <c r="D374" s="14"/>
      <c r="E374" s="12">
        <v>5186686</v>
      </c>
    </row>
    <row r="375" spans="2:5" x14ac:dyDescent="0.25">
      <c r="B375" s="24" t="s">
        <v>401</v>
      </c>
      <c r="C375" s="16">
        <v>5115695</v>
      </c>
      <c r="D375" s="14"/>
      <c r="E375" s="12">
        <v>5115695</v>
      </c>
    </row>
    <row r="376" spans="2:5" x14ac:dyDescent="0.25">
      <c r="B376" s="23" t="s">
        <v>402</v>
      </c>
      <c r="C376" s="16">
        <v>5129426</v>
      </c>
      <c r="D376" s="14"/>
      <c r="E376" s="12">
        <v>5129426</v>
      </c>
    </row>
    <row r="377" spans="2:5" x14ac:dyDescent="0.25">
      <c r="B377" s="24" t="s">
        <v>403</v>
      </c>
      <c r="C377" s="16">
        <v>5210493</v>
      </c>
      <c r="D377" s="14">
        <v>479149</v>
      </c>
      <c r="E377" s="12">
        <v>5689642</v>
      </c>
    </row>
    <row r="378" spans="2:5" x14ac:dyDescent="0.25">
      <c r="B378" s="23" t="s">
        <v>404</v>
      </c>
      <c r="C378" s="16">
        <v>4983468</v>
      </c>
      <c r="D378" s="14">
        <v>480702</v>
      </c>
      <c r="E378" s="12">
        <v>5464170</v>
      </c>
    </row>
    <row r="379" spans="2:5" x14ac:dyDescent="0.25">
      <c r="B379" s="24" t="s">
        <v>405</v>
      </c>
      <c r="C379" s="16">
        <v>4807597</v>
      </c>
      <c r="D379" s="14">
        <v>480406</v>
      </c>
      <c r="E379" s="12">
        <v>5288003</v>
      </c>
    </row>
    <row r="380" spans="2:5" x14ac:dyDescent="0.25">
      <c r="B380" s="23" t="s">
        <v>406</v>
      </c>
      <c r="C380" s="16">
        <v>4794930</v>
      </c>
      <c r="D380" s="14">
        <v>480893</v>
      </c>
      <c r="E380" s="12">
        <v>5275823</v>
      </c>
    </row>
    <row r="381" spans="2:5" x14ac:dyDescent="0.25">
      <c r="B381" s="24" t="s">
        <v>407</v>
      </c>
      <c r="C381" s="16">
        <v>4857835</v>
      </c>
      <c r="D381" s="14">
        <v>478683</v>
      </c>
      <c r="E381" s="12">
        <v>5336518</v>
      </c>
    </row>
    <row r="382" spans="2:5" x14ac:dyDescent="0.25">
      <c r="B382" s="9" t="s">
        <v>43</v>
      </c>
      <c r="C382" s="10">
        <v>1761280686</v>
      </c>
      <c r="D382" s="10">
        <v>108155315</v>
      </c>
      <c r="E382" s="10">
        <v>1869436001</v>
      </c>
    </row>
  </sheetData>
  <conditionalFormatting pivot="1" sqref="C4:C1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D4:D1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F4:F1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C21:C38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D21:D38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E5D4A-E823-458A-BC6F-2F60CD1D733D}">
  <dimension ref="B2"/>
  <sheetViews>
    <sheetView tabSelected="1" workbookViewId="0"/>
  </sheetViews>
  <sheetFormatPr defaultRowHeight="15.75" x14ac:dyDescent="0.25"/>
  <cols>
    <col min="2" max="2" width="104.375" bestFit="1" customWidth="1"/>
  </cols>
  <sheetData>
    <row r="2" spans="2:2" ht="63" x14ac:dyDescent="0.5">
      <c r="B2" s="45" t="s">
        <v>418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74B6A8-DFDA-4F31-8446-2EED49C5C8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Notes</vt:lpstr>
      <vt:lpstr>Upside</vt:lpstr>
      <vt:lpstr>Spread</vt:lpstr>
      <vt:lpstr>Exploratory Data Analysis</vt:lpstr>
      <vt:lpstr>Final Recommendation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 Morse</dc:creator>
  <cp:lastModifiedBy>Tim Vlek</cp:lastModifiedBy>
  <dcterms:created xsi:type="dcterms:W3CDTF">2022-06-23T16:38:40Z</dcterms:created>
  <dcterms:modified xsi:type="dcterms:W3CDTF">2022-08-19T14:23:08Z</dcterms:modified>
</cp:coreProperties>
</file>